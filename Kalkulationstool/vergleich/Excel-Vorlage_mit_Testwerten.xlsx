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5"/>
  </bookViews>
  <sheets>
    <sheet name="A. Start" sheetId="1" state="visible" r:id="rId3"/>
    <sheet name="B. Basisdaten" sheetId="2" state="visible" r:id="rId4"/>
    <sheet name="I-1. FTE-Gehälter" sheetId="3" state="visible" r:id="rId5"/>
    <sheet name="I-2. FTE-Löhne" sheetId="4" state="visible" r:id="rId6"/>
    <sheet name="II. Sachkosten" sheetId="5" state="visible" r:id="rId7"/>
    <sheet name="V. Summary" sheetId="6" state="visible" r:id="rId8"/>
    <sheet name="VI. OtO" sheetId="7" state="visible" r:id="rId9"/>
    <sheet name="Tabelle1" sheetId="8" state="hidden" r:id="rId10"/>
  </sheets>
  <definedNames>
    <definedName function="false" hidden="true" name="ATSeXToEUR" vbProcedure="false">1/EUReXToATS</definedName>
    <definedName function="false" hidden="true" name="EUReXToATS" vbProcedure="false">#REF!</definedName>
    <definedName function="false" hidden="true" name="BEFeXToEUR" vbProcedure="false">1/EUReXToBEF</definedName>
    <definedName function="false" hidden="true" name="EUReXToBEF" vbProcedure="false">#REF!</definedName>
    <definedName function="false" hidden="true" name="DEMeXToEUR" vbProcedure="false">1/EUReXToDEM</definedName>
    <definedName function="false" hidden="true" name="EUReXToDEM" vbProcedure="false">#REF!</definedName>
    <definedName function="false" hidden="true" name="dfdsfds" vbProcedure="false">#REF!</definedName>
    <definedName function="false" hidden="true" name="ESPeXToEUR" vbProcedure="false">1/EUReXToESP</definedName>
    <definedName function="false" hidden="true" name="EUReXToESP" vbProcedure="false">#REF!</definedName>
    <definedName function="false" hidden="true" name="EUReXToFIM" vbProcedure="false">#REF!</definedName>
    <definedName function="false" hidden="true" name="EUReXToFRF" vbProcedure="false">#REF!</definedName>
    <definedName function="false" hidden="true" name="EUReXToIEP" vbProcedure="false">#REF!</definedName>
    <definedName function="false" hidden="true" name="EUReXToITL" vbProcedure="false">#REF!</definedName>
    <definedName function="false" hidden="true" name="EUReXToLUF" vbProcedure="false">#REF!</definedName>
    <definedName function="false" hidden="true" name="EUReXToNLG" vbProcedure="false">#REF!</definedName>
    <definedName function="false" hidden="true" name="EUReXToPTE" vbProcedure="false">#REF!</definedName>
    <definedName function="false" hidden="true" name="FIMeXToEUR" vbProcedure="false">1/EUReXToFIM</definedName>
    <definedName function="false" hidden="true" name="FRFeXToEUR" vbProcedure="false">1/EUReXToFRF</definedName>
    <definedName function="false" hidden="true" name="IEPeXToEUR" vbProcedure="false">1/EUReXToIEP</definedName>
    <definedName function="false" hidden="false" name="INFLATIONSENTWICKLUNG" vbProcedure="false">#REF!</definedName>
    <definedName function="false" hidden="true" name="ITLeXToEUR" vbProcedure="false">1/EUReXToITL</definedName>
    <definedName function="false" hidden="true" name="jhg" vbProcedure="false">1/EUReXToBEF</definedName>
    <definedName function="false" hidden="true" name="LUFeXToEUR" vbProcedure="false">1/EUReXToLUF</definedName>
    <definedName function="false" hidden="true" name="NLGeXToEUR" vbProcedure="false">1/EUReXToNLG</definedName>
    <definedName function="false" hidden="false" name="Opportunity_Name" vbProcedure="false">#REF!</definedName>
    <definedName function="false" hidden="true" name="PTEeXToEUR" vbProcedure="false">1/EUReXToPTE</definedName>
    <definedName function="false" hidden="true" name="SAPBEXhrIndnt" vbProcedure="false">1</definedName>
    <definedName function="false" hidden="true" name="SAPBEXrevision" vbProcedure="false">0</definedName>
    <definedName function="false" hidden="true" name="SAPBEXsysID" vbProcedure="false">"JRP"</definedName>
    <definedName function="false" hidden="true" name="SAPBEXwbID" vbProcedure="false">"6IVEPLF40CLXG4RQH7MLXIS03"</definedName>
    <definedName function="false" hidden="true" name="scen_change" vbProcedure="false">#N/A</definedName>
    <definedName function="false" hidden="true" name="scen_name1" vbProcedure="false">1</definedName>
    <definedName function="false" hidden="true" name="scen_name2" vbProcedure="false">0.9</definedName>
    <definedName function="false" hidden="true" name="scen_name3" vbProcedure="false">0.8</definedName>
    <definedName function="false" hidden="true" name="scen_name4" vbProcedure="false">0.7</definedName>
    <definedName function="false" hidden="true" name="scen_name5" vbProcedure="false">0.6</definedName>
    <definedName function="false" hidden="true" name="scen_num" vbProcedure="false">5</definedName>
    <definedName function="false" hidden="true" name="scen_user1" vbProcedure="false">"GrandinA"</definedName>
    <definedName function="false" hidden="true" name="scen_user2" vbProcedure="false">"GrandinA"</definedName>
    <definedName function="false" hidden="true" name="scen_user3" vbProcedure="false">"GrandinA"</definedName>
    <definedName function="false" hidden="true" name="scen_user4" vbProcedure="false">"GrandinA"</definedName>
    <definedName function="false" hidden="true" name="scen_user5" vbProcedure="false">"GrandinA"</definedName>
    <definedName function="false" hidden="false" name="Stoßfängertyp" vbProcedure="false">#REF!</definedName>
    <definedName function="false" hidden="true" name="Z_507318EE_F694_11D4_8E42_0008C725157C_.wvu.PrintArea" vbProcedure="false">#REF!</definedName>
    <definedName function="false" hidden="true" name="Z_507318EE_F694_11D4_8E42_0008C725157C_.wvu.PrintTitles" vbProcedure="false">#REF!</definedName>
    <definedName function="false" hidden="true" localSheetId="6" name="ATSeXToEUR" vbProcedure="false">1/'VI. OtO'!EUReXToATS</definedName>
    <definedName function="false" hidden="true" localSheetId="6" name="EUReXToATS" vbProcedure="false">#REF!</definedName>
    <definedName function="false" hidden="true" localSheetId="6" name="BEFeXToEUR" vbProcedure="false">1/'VI. OtO'!EUReXToBEF</definedName>
    <definedName function="false" hidden="true" localSheetId="6" name="EUReXToBEF" vbProcedure="false">#REF!</definedName>
    <definedName function="false" hidden="true" localSheetId="6" name="DEMeXToEUR" vbProcedure="false">1/'VI. OtO'!EUReXToDEM</definedName>
    <definedName function="false" hidden="true" localSheetId="6" name="EUReXToDEM" vbProcedure="false">#REF!</definedName>
    <definedName function="false" hidden="true" localSheetId="6" name="dfdsfds" vbProcedure="false">#REF!</definedName>
    <definedName function="false" hidden="true" localSheetId="6" name="ESPeXToEUR" vbProcedure="false">1/'VI. OtO'!EUReXToESP</definedName>
    <definedName function="false" hidden="true" localSheetId="6" name="EUReXToESP" vbProcedure="false">#REF!</definedName>
    <definedName function="false" hidden="true" localSheetId="6" name="EUReXToFIM" vbProcedure="false">#REF!</definedName>
    <definedName function="false" hidden="true" localSheetId="6" name="EUReXToFRF" vbProcedure="false">#REF!</definedName>
    <definedName function="false" hidden="true" localSheetId="6" name="EUReXToIEP" vbProcedure="false">#REF!</definedName>
    <definedName function="false" hidden="true" localSheetId="6" name="EUReXToITL" vbProcedure="false">#REF!</definedName>
    <definedName function="false" hidden="true" localSheetId="6" name="EUReXToLUF" vbProcedure="false">#REF!</definedName>
    <definedName function="false" hidden="true" localSheetId="6" name="EUReXToNLG" vbProcedure="false">#REF!</definedName>
    <definedName function="false" hidden="true" localSheetId="6" name="EUReXToPTE" vbProcedure="false">#REF!</definedName>
    <definedName function="false" hidden="true" localSheetId="6" name="FIMeXToEUR" vbProcedure="false">1/'VI. OtO'!EUReXToFIM</definedName>
    <definedName function="false" hidden="true" localSheetId="6" name="FRFeXToEUR" vbProcedure="false">1/'VI. OtO'!EUReXToFRF</definedName>
    <definedName function="false" hidden="true" localSheetId="6" name="IEPeXToEUR" vbProcedure="false">1/'VI. OtO'!EUReXToIEP</definedName>
    <definedName function="false" hidden="true" localSheetId="6" name="ITLeXToEUR" vbProcedure="false">1/'VI. OtO'!EUReXToITL</definedName>
    <definedName function="false" hidden="true" localSheetId="6" name="jhg" vbProcedure="false">1/'VI. OtO'!EUReXToBEF</definedName>
    <definedName function="false" hidden="true" localSheetId="6" name="LUFeXToEUR" vbProcedure="false">1/'VI. OtO'!EUReXToLUF</definedName>
    <definedName function="false" hidden="true" localSheetId="6" name="NLGeXToEUR" vbProcedure="false">1/'VI. OtO'!EUReXToNLG</definedName>
    <definedName function="false" hidden="true" localSheetId="6" name="PTEeXToEUR" vbProcedure="false">1/'VI. OtO'!EUReXToPTE</definedName>
    <definedName function="false" hidden="true" localSheetId="6" name="Z_507318EE_F694_11D4_8E42_0008C725157C_.wvu.PrintArea" vbProcedure="false">#REF!</definedName>
    <definedName function="false" hidden="true" localSheetId="6" name="Z_507318EE_F694_11D4_8E42_0008C725157C_.wvu.PrintTitles"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<sst xmlns="http://schemas.openxmlformats.org/spreadsheetml/2006/main" count="340" uniqueCount="277">
  <si>
    <t xml:space="preserve">Kalkulationstool Light</t>
  </si>
  <si>
    <t xml:space="preserve">Vesion 1.0</t>
  </si>
  <si>
    <t xml:space="preserve">Projektname</t>
  </si>
  <si>
    <t xml:space="preserve">Testkalkulation Kombinationen</t>
  </si>
  <si>
    <t xml:space="preserve">Start Leistung</t>
  </si>
  <si>
    <t xml:space="preserve">Kundenname</t>
  </si>
  <si>
    <t xml:space="preserve">Testkunde</t>
  </si>
  <si>
    <t xml:space="preserve">Ende Leistung</t>
  </si>
  <si>
    <t xml:space="preserve">Projektstandort</t>
  </si>
  <si>
    <t xml:space="preserve">UT</t>
  </si>
  <si>
    <t xml:space="preserve">Laufzeit [Monate]</t>
  </si>
  <si>
    <t xml:space="preserve">Kundenkontakt</t>
  </si>
  <si>
    <t xml:space="preserve">Mustermann</t>
  </si>
  <si>
    <t xml:space="preserve">Laufzeit [Jahre]</t>
  </si>
  <si>
    <t xml:space="preserve">Geschäftsbereich</t>
  </si>
  <si>
    <t xml:space="preserve">VIAS</t>
  </si>
  <si>
    <t xml:space="preserve">Datum Kalkulation</t>
  </si>
  <si>
    <t xml:space="preserve">Service-Line</t>
  </si>
  <si>
    <t xml:space="preserve">LOG</t>
  </si>
  <si>
    <t xml:space="preserve">Bearbeiter</t>
  </si>
  <si>
    <t xml:space="preserve">Kästner</t>
  </si>
  <si>
    <t xml:space="preserve">Farblogik</t>
  </si>
  <si>
    <t xml:space="preserve">Eingabefeld</t>
  </si>
  <si>
    <t xml:space="preserve">Eingabe</t>
  </si>
  <si>
    <t xml:space="preserve">Ausgabefeld</t>
  </si>
  <si>
    <t xml:space="preserve">nicht befüllen!</t>
  </si>
  <si>
    <t xml:space="preserve">Highlights</t>
  </si>
  <si>
    <t xml:space="preserve">Kurzanleitung</t>
  </si>
  <si>
    <t xml:space="preserve">Step 1</t>
  </si>
  <si>
    <t xml:space="preserve">Reiter "Start" mit allgemeinen Projektdaten befüllen</t>
  </si>
  <si>
    <t xml:space="preserve">Step 2</t>
  </si>
  <si>
    <t xml:space="preserve">Reiter "Basisdaten" mit Kalkulationsgrunddaten befüllen. 
Felder für die Berechnung des Bruttofaktors können optional befüllt werden, um Personalmehrbedarfe zu kalkulieren, ist jedoch nicht erfoderlich für die Berechnung des Gesamtumsatzes. 
Eingabefelder für die Personalnebenkosten beruhen auf dem deutschen Sozialversicherungssystem. Bei Abweichungen in anderen Ländern oder zur Vereinfachung können die Detailfelder auf 0,00% gesetzt werden und dafür die "sonstigen Anteile/Zulagen/Nebenkosten-Felder" genutzt werden, um einen Gesamtwert an Zuschlägen zu definieren. 
Das Eingabefeld "Zuschlag SVS für zusätzliche Tätigkeiten" definiert die Zuschläge für z.B. Sonderleistungen oder andere spezielle Bereiche und wird separat auf den Stundenlohn aufgeschlagen, sodass Löhne mit und ohne Zuschläge ersichtlich sind. Analoge Berechnung für Gehälter. </t>
  </si>
  <si>
    <t xml:space="preserve">Step 3</t>
  </si>
  <si>
    <t xml:space="preserve">Reiter "Personalkosten" mit Funktionen in Tabelle Gehälter (Eingabe Jahresgehalt) oder Tabelle Löhne (Eingabe Stundenlohn) befüllen. 
Eingabe der benötigten Netto-FTE-Bedarfe pro Tag. 
Eingabe der Jahresgehälter bzw. Stundenlöhne zum SOP, ggf. Zuschlägen (Bsp. Nachtschichtzuschläge) und Angabe, ob Brottofaktor aufgeschlagen werden soll oder nicht berücksichtigen.
Ausgabe der durchschnittlichen und Gesamtlohnkosten über Laufzeit in der rechten Tabelle. 
Achtung: Detaillierte Berechnung der Personalkosten in separaten Tabellenblättern zur Vermeidung von Eingabefehlern.</t>
  </si>
  <si>
    <t xml:space="preserve">Step 4</t>
  </si>
  <si>
    <t xml:space="preserve">Reiter "Sachkosten" mit CAPEX, OPEX und Kosten für Fremdleistungen befüllen. 
Eingabe CAPEX mit Einzelkosten über Laufzeit
Eingabe OPEX mit Einzelkosten pro Monat 
Eingabe Kosten für Fremdleistungen mit Einzelkosten pro Jahr</t>
  </si>
  <si>
    <t xml:space="preserve">Step 5</t>
  </si>
  <si>
    <t xml:space="preserve">Reiter "Summary" gibt die wichtigsten Projekt- und Kalkulationsdaten, Kosten und Umsätze als Zusammenfassung aus. 
Achtung: Keine Eingaben in diesem Reiter vornehmen!
Detailanteile pro Kostengruppe können im unteren Bereich der Tabelle bei Bedarf ausgeklappt werden.  </t>
  </si>
  <si>
    <t xml:space="preserve">Step 6</t>
  </si>
  <si>
    <t xml:space="preserve">Reiter "OtO" dient als Kopiervorlage für die Befüllung des OtO-Formulars. Die Vertragsprüfung muss separat erfolgen. </t>
  </si>
  <si>
    <t xml:space="preserve">Hinweis / Disclaimer</t>
  </si>
  <si>
    <t xml:space="preserve">Dieses Kalkulationstool unterstützt bei der Projektkalkulation; alle Eingaben und Ergebnisse sind vom Anwender eigenverantwortlich auf Richtigkeit und Plausibilität zu prüfen. Für Funktionalität, Vollständigkeit oder Fehlerfreiheit – insbesondere nach Änderungen an Formeln oder Strukturen – wird keine Gewähr übernommen. Die Nutzung erfolgt auf eigenes Risiko.</t>
  </si>
  <si>
    <t xml:space="preserve">Basisdaten</t>
  </si>
  <si>
    <t xml:space="preserve">Vertragsstart</t>
  </si>
  <si>
    <t xml:space="preserve">To/p.a.</t>
  </si>
  <si>
    <t xml:space="preserve">Preiskalkulation</t>
  </si>
  <si>
    <t xml:space="preserve">Ermittlung der Ø produktiven Jahresstunden</t>
  </si>
  <si>
    <t xml:space="preserve">Personalnebenkosten</t>
  </si>
  <si>
    <t xml:space="preserve">Gehalts-empfänger</t>
  </si>
  <si>
    <t xml:space="preserve">Lohn-empfänger</t>
  </si>
  <si>
    <t xml:space="preserve">SV-Anteil Arbeitgeber </t>
  </si>
  <si>
    <t xml:space="preserve">Gewinn</t>
  </si>
  <si>
    <t xml:space="preserve">Personalkostensteigerung p.a. (Löhne &amp; Gehälter)</t>
  </si>
  <si>
    <t xml:space="preserve">101 Soziallöhne (bezahlte Abwesenheit)</t>
  </si>
  <si>
    <t xml:space="preserve">n.v.</t>
  </si>
  <si>
    <t xml:space="preserve">Krankenversicherung (AG-Anteil)</t>
  </si>
  <si>
    <t xml:space="preserve">Risiko (Leadec Global C2 = 1,00%)</t>
  </si>
  <si>
    <t xml:space="preserve">102 Urlaubsgeld/ Prämie</t>
  </si>
  <si>
    <t xml:space="preserve">Rentenversicherung (AG-Anteil)</t>
  </si>
  <si>
    <t xml:space="preserve">Total</t>
  </si>
  <si>
    <t xml:space="preserve">Tage pro Jahr</t>
  </si>
  <si>
    <t xml:space="preserve">102 Sonstige Zuschläge auf Basisgehalt/Tariflohn</t>
  </si>
  <si>
    <t xml:space="preserve">Arbeitslosenversicherung (AG-Anteil)</t>
  </si>
  <si>
    <t xml:space="preserve">Samstage/Sonntage</t>
  </si>
  <si>
    <t xml:space="preserve">Pflegeversicherung (AG-Anteil)</t>
  </si>
  <si>
    <t xml:space="preserve">Konzern (HV)</t>
  </si>
  <si>
    <t xml:space="preserve">Feiertage</t>
  </si>
  <si>
    <t xml:space="preserve">201 Sozialabgaben (SV-Anteil Arbeitgeber)</t>
  </si>
  <si>
    <t xml:space="preserve">Umlage U2 (U2 Mutterschutz</t>
  </si>
  <si>
    <t xml:space="preserve">Umlagen für den Geschäftsbereich (BU)</t>
  </si>
  <si>
    <t xml:space="preserve">Bruttoarbeitstage</t>
  </si>
  <si>
    <t xml:space="preserve">Insolvenzgeldumlage </t>
  </si>
  <si>
    <t xml:space="preserve">Umlagen für die Niederlassung (NL)</t>
  </si>
  <si>
    <t xml:space="preserve">601 Zuschlag für Sondertätigkeiten</t>
  </si>
  <si>
    <t xml:space="preserve">gesetzl. Unfallversicherung BG </t>
  </si>
  <si>
    <t xml:space="preserve">Urlaubstage</t>
  </si>
  <si>
    <t xml:space="preserve">Schwerbehindert. Abgabe</t>
  </si>
  <si>
    <t xml:space="preserve">Krankheitstage</t>
  </si>
  <si>
    <t xml:space="preserve">Berechnung Gehalts- und Lohnnebenkosten siehe I-1. und I-2.</t>
  </si>
  <si>
    <t xml:space="preserve">Verhandlungsmarge</t>
  </si>
  <si>
    <t xml:space="preserve">Sonstiges/ Arbeitsfreistellung</t>
  </si>
  <si>
    <t xml:space="preserve">Ø Anwesenheitstage FTE pro Jahr</t>
  </si>
  <si>
    <t xml:space="preserve">Arbeitsstunden Lohnempfänger pro Tag [h]</t>
  </si>
  <si>
    <t xml:space="preserve">Ø produktive Jahresstunden [h]</t>
  </si>
  <si>
    <t xml:space="preserve">Arbeitsstunden Gehaltsemfänger pro Tag [h]</t>
  </si>
  <si>
    <t xml:space="preserve">I-1. Personalkosten Gehälter</t>
  </si>
  <si>
    <t xml:space="preserve">Projektlaufzeit</t>
  </si>
  <si>
    <t xml:space="preserve">Nr.</t>
  </si>
  <si>
    <t xml:space="preserve">Bezeichnung</t>
  </si>
  <si>
    <t xml:space="preserve">%</t>
  </si>
  <si>
    <t xml:space="preserve">Beispiel</t>
  </si>
  <si>
    <t xml:space="preserve">000</t>
  </si>
  <si>
    <t xml:space="preserve">Jahresgehalt [€/Jahr] im Startjahr</t>
  </si>
  <si>
    <t xml:space="preserve">Steigerung p.a.</t>
  </si>
  <si>
    <t xml:space="preserve">Years</t>
  </si>
  <si>
    <t xml:space="preserve">Months</t>
  </si>
  <si>
    <t xml:space="preserve">%-months</t>
  </si>
  <si>
    <t xml:space="preserve">Jahresgehalt [€/Jahr] gemittelt Laufzeit</t>
  </si>
  <si>
    <t xml:space="preserve">-</t>
  </si>
  <si>
    <t xml:space="preserve">SV-Pflichtige Zuschläge (Prämien, Urlaubsgeld)</t>
  </si>
  <si>
    <t xml:space="preserve">Brutto-Arbeitnehmergehalt</t>
  </si>
  <si>
    <t xml:space="preserve">SV-Anteil AG</t>
  </si>
  <si>
    <t xml:space="preserve">Kalkulatorisches Gehalt</t>
  </si>
  <si>
    <t xml:space="preserve">Verwaltungsgemeinkostenzuschlag (HV/BU/NL-Umlagen)</t>
  </si>
  <si>
    <t xml:space="preserve">Selbstkosten-Stundenverrechnungssatz</t>
  </si>
  <si>
    <t xml:space="preserve">Gewinn (%-Zuschlag auf SK-SVS)</t>
  </si>
  <si>
    <t xml:space="preserve">+ Risikozuschlag (%-Zuschlag auf SK-SVS)</t>
  </si>
  <si>
    <t xml:space="preserve">Mitarbeiterverkaufsstundensatz ohne Verhandlung</t>
  </si>
  <si>
    <t xml:space="preserve">Verhandlung (%-Zuschlag auf MA-VSVS)</t>
  </si>
  <si>
    <t xml:space="preserve">Mitarbeiterverkaufsstundensatz</t>
  </si>
  <si>
    <t xml:space="preserve">Prod. h/Jahr</t>
  </si>
  <si>
    <t xml:space="preserve">Zuschlag für Sondertätigkeiten</t>
  </si>
  <si>
    <t xml:space="preserve">Mitarbeiterverkaufsstundensatz Sondertätigkeiten</t>
  </si>
  <si>
    <t xml:space="preserve">Berechnung Gehaltskostensteigerung</t>
  </si>
  <si>
    <t xml:space="preserve">Übersicht Gehaltskosten pro Stunde</t>
  </si>
  <si>
    <t xml:space="preserve">Berechnung kalkulatorischer Gesamt-Gehaltskosten </t>
  </si>
  <si>
    <t xml:space="preserve">Nr</t>
  </si>
  <si>
    <t xml:space="preserve">Qualifikation</t>
  </si>
  <si>
    <t xml:space="preserve">Ø-FTE/Tag netto</t>
  </si>
  <si>
    <t xml:space="preserve">000-Jahresgehalt Jahr 1</t>
  </si>
  <si>
    <t xml:space="preserve">FTE Brutto-Zuschlag [%]</t>
  </si>
  <si>
    <t xml:space="preserve">Brutto-FTE</t>
  </si>
  <si>
    <t xml:space="preserve">101
102</t>
  </si>
  <si>
    <t xml:space="preserve">401
402</t>
  </si>
  <si>
    <t xml:space="preserve">Produktive Jahresstunden</t>
  </si>
  <si>
    <t xml:space="preserve">300-Kalkulatorische Gehaltskosten/Jahr </t>
  </si>
  <si>
    <t xml:space="preserve">300-Kalkulatorische Gehaltskosten/Laufzeit</t>
  </si>
  <si>
    <t xml:space="preserve">Standortleitung</t>
  </si>
  <si>
    <t xml:space="preserve">Schichtleitung</t>
  </si>
  <si>
    <t xml:space="preserve">Disposition</t>
  </si>
  <si>
    <t xml:space="preserve">#</t>
  </si>
  <si>
    <t xml:space="preserve">I-2. Personalkosten Löhne</t>
  </si>
  <si>
    <t xml:space="preserve">Tariflicher Grundlohn[€/h] im Startjahr</t>
  </si>
  <si>
    <t xml:space="preserve">Tariflicher Grundlohn [€/h] gemittelt Laufzeit</t>
  </si>
  <si>
    <t xml:space="preserve">Soziallöhne (bezahlte Abwesenheit)</t>
  </si>
  <si>
    <t xml:space="preserve">SV-Pflichtige Zuschläge (Schicht, Prämien, Urlaub)</t>
  </si>
  <si>
    <t xml:space="preserve">Brutto-Arbeitnehmerlohn</t>
  </si>
  <si>
    <t xml:space="preserve">Kalkulatorischer Lohn</t>
  </si>
  <si>
    <t xml:space="preserve">Berechnung Lohnkostensteigerung</t>
  </si>
  <si>
    <t xml:space="preserve">Übersicht Lohnkosten pro Stunde</t>
  </si>
  <si>
    <t xml:space="preserve">Berechnung kalkulatorischer Gesamt-Lohnkosten</t>
  </si>
  <si>
    <t xml:space="preserve">000-Tarif. Grundlohn Jahr 1</t>
  </si>
  <si>
    <t xml:space="preserve">300-Kalkulatorische Lohnkosten/Jahr </t>
  </si>
  <si>
    <t xml:space="preserve">300-Kalkulatorische Lohnkosten/Laufzeit</t>
  </si>
  <si>
    <t xml:space="preserve">Lagerist</t>
  </si>
  <si>
    <t xml:space="preserve">Staplerfahrer</t>
  </si>
  <si>
    <t xml:space="preserve">Kommissionierer (Aushilfe)</t>
  </si>
  <si>
    <t xml:space="preserve">II. Sachkosten</t>
  </si>
  <si>
    <t xml:space="preserve">Contract Start</t>
  </si>
  <si>
    <t xml:space="preserve">TO/p.a.</t>
  </si>
  <si>
    <t xml:space="preserve">II-1. Investitionen/Einmalkosten</t>
  </si>
  <si>
    <t xml:space="preserve">II-2. Monatliche Betriebskosten/Verbräuche</t>
  </si>
  <si>
    <t xml:space="preserve">II-4. Nachunternehmerleistung</t>
  </si>
  <si>
    <t xml:space="preserve">Name</t>
  </si>
  <si>
    <t xml:space="preserve">Menge</t>
  </si>
  <si>
    <t xml:space="preserve">Kosten/ Einheit</t>
  </si>
  <si>
    <t xml:space="preserve">Gesamtkosten Jahr</t>
  </si>
  <si>
    <t xml:space="preserve">Gesamtkosten Laufzeit</t>
  </si>
  <si>
    <t xml:space="preserve">Kosten/ Monat</t>
  </si>
  <si>
    <t xml:space="preserve">Kosten /Jahr</t>
  </si>
  <si>
    <t xml:space="preserve">Gesamtkosten  Jahr</t>
  </si>
  <si>
    <t xml:space="preserve">Lagertechnik lt. Stückliste (Lagerplaner)</t>
  </si>
  <si>
    <t xml:space="preserve">Hallenmiete</t>
  </si>
  <si>
    <t xml:space="preserve">Wachdienst</t>
  </si>
  <si>
    <t xml:space="preserve">IT-Ausstattung</t>
  </si>
  <si>
    <t xml:space="preserve">Staplerleasing</t>
  </si>
  <si>
    <t xml:space="preserve">Energie</t>
  </si>
  <si>
    <t xml:space="preserve">Summe</t>
  </si>
  <si>
    <t xml:space="preserve">II-5. Ramp-Up Gesamtkosten</t>
  </si>
  <si>
    <t xml:space="preserve">Summary Kalkulation</t>
  </si>
  <si>
    <t xml:space="preserve">Kalulationsdatum</t>
  </si>
  <si>
    <t xml:space="preserve">HV-Umlage</t>
  </si>
  <si>
    <t xml:space="preserve">BU-Umlage</t>
  </si>
  <si>
    <t xml:space="preserve">NL-Umlage</t>
  </si>
  <si>
    <t xml:space="preserve">Net</t>
  </si>
  <si>
    <t xml:space="preserve">Brutto/Gross</t>
  </si>
  <si>
    <t xml:space="preserve">TO/p.a. mit Verhandlung</t>
  </si>
  <si>
    <t xml:space="preserve">FTE Gehälter</t>
  </si>
  <si>
    <t xml:space="preserve">TO/Laufzeit mit Verhandlung</t>
  </si>
  <si>
    <t xml:space="preserve">FTE Löhne</t>
  </si>
  <si>
    <t xml:space="preserve">Umsatz/FTE</t>
  </si>
  <si>
    <t xml:space="preserve">∑FTE</t>
  </si>
  <si>
    <t xml:space="preserve">%-Anteile</t>
  </si>
  <si>
    <t xml:space="preserve">Pro Jahr (p.a)</t>
  </si>
  <si>
    <t xml:space="preserve">Laufzeit</t>
  </si>
  <si>
    <t xml:space="preserve">Produktive Stunde</t>
  </si>
  <si>
    <t xml:space="preserve">Projektkosten</t>
  </si>
  <si>
    <t xml:space="preserve">Unternehmensumlagen (HV/BU/NL)</t>
  </si>
  <si>
    <t xml:space="preserve">∑Selbstkosten</t>
  </si>
  <si>
    <t xml:space="preserve">Risiko</t>
  </si>
  <si>
    <t xml:space="preserve">Umsatz ohne Verhandlung</t>
  </si>
  <si>
    <t xml:space="preserve">Verhandlung</t>
  </si>
  <si>
    <t xml:space="preserve">Umsatz mit Verhandlung</t>
  </si>
  <si>
    <t xml:space="preserve">OtO-Wert Angebots-TO</t>
  </si>
  <si>
    <t xml:space="preserve">%-Anteilie</t>
  </si>
  <si>
    <t xml:space="preserve">pro Jahr (p.a)</t>
  </si>
  <si>
    <t xml:space="preserve">UMSATZ mit Verhandlung</t>
  </si>
  <si>
    <t xml:space="preserve">EBITA Gewinn+Verhandlung</t>
  </si>
  <si>
    <t xml:space="preserve">Gross Profit EBITA+HV+BU</t>
  </si>
  <si>
    <t xml:space="preserve">OtO-Wert Walkaway-Price</t>
  </si>
  <si>
    <t xml:space="preserve">UMSATZ ohne Verhandlung</t>
  </si>
  <si>
    <t xml:space="preserve">EBITA Gewinn</t>
  </si>
  <si>
    <t xml:space="preserve">OtO-Werte</t>
  </si>
  <si>
    <t xml:space="preserve">OtO-Abgabeunterlage bitte aus Ordner kopieren und als separate Datei anlegen:</t>
  </si>
  <si>
    <t xml:space="preserve">LINK</t>
  </si>
  <si>
    <t xml:space="preserve">Opportunity Informationen I</t>
  </si>
  <si>
    <t xml:space="preserve">Angebots-/Auftragsdatum | Date</t>
  </si>
  <si>
    <t xml:space="preserve">dd.mm.yyyy</t>
  </si>
  <si>
    <t xml:space="preserve">Status | Status</t>
  </si>
  <si>
    <t xml:space="preserve">Angebot</t>
  </si>
  <si>
    <t xml:space="preserve">Gesellschaft | Business Unit</t>
  </si>
  <si>
    <t xml:space="preserve">SFDC-Nr. </t>
  </si>
  <si>
    <t xml:space="preserve">Werte in separate Datei kopieren!</t>
  </si>
  <si>
    <t xml:space="preserve">Kunde/ Account | Customer</t>
  </si>
  <si>
    <t xml:space="preserve">Umfang | Opportunity Name</t>
  </si>
  <si>
    <t xml:space="preserve">Kalkulation von | Calculated by</t>
  </si>
  <si>
    <t xml:space="preserve">Service Line | Service Line</t>
  </si>
  <si>
    <t xml:space="preserve">Angebotsnummer | Offer Number</t>
  </si>
  <si>
    <t xml:space="preserve">Angebotswährung | offer currency</t>
  </si>
  <si>
    <t xml:space="preserve">EUR</t>
  </si>
  <si>
    <t xml:space="preserve">Wechselkurs | exchange rate</t>
  </si>
  <si>
    <t xml:space="preserve">Zuschlag HV+BU | Contribution</t>
  </si>
  <si>
    <t xml:space="preserve">Angebots TO | Offer TO</t>
  </si>
  <si>
    <t xml:space="preserve">¬ Rahmenvertrag: Jahresvolumen 
¬ Projektgeschäft: Gesamtvolumen</t>
  </si>
  <si>
    <t xml:space="preserve">Gross Profit | Bruttogewinn</t>
  </si>
  <si>
    <t xml:space="preserve">Gross Margin</t>
  </si>
  <si>
    <t xml:space="preserve">EBITA (excl. Zinsen) | EBITA (excl. interest rates)</t>
  </si>
  <si>
    <t xml:space="preserve">EBITA Margin</t>
  </si>
  <si>
    <t xml:space="preserve">Investment (total netto) | Invest (total net)</t>
  </si>
  <si>
    <t xml:space="preserve">Leasing p.a. | Leasing p.a.</t>
  </si>
  <si>
    <t xml:space="preserve">Abrechnungsart | Payment model</t>
  </si>
  <si>
    <t xml:space="preserve">Approval Process inkl. Vertragsprüfung</t>
  </si>
  <si>
    <t xml:space="preserve">Opportunity Informationen II</t>
  </si>
  <si>
    <t xml:space="preserve">Walkaway-/Verhandlungspreis</t>
  </si>
  <si>
    <t xml:space="preserve">Walkaway Gross Profit</t>
  </si>
  <si>
    <t xml:space="preserve">Walkaway EBITA </t>
  </si>
  <si>
    <t xml:space="preserve">Investment</t>
  </si>
  <si>
    <t xml:space="preserve">Leasing</t>
  </si>
  <si>
    <t xml:space="preserve">Q1</t>
  </si>
  <si>
    <t xml:space="preserve">Q2</t>
  </si>
  <si>
    <t xml:space="preserve">Netto</t>
  </si>
  <si>
    <t xml:space="preserve">SV-Pflichtig</t>
  </si>
  <si>
    <t xml:space="preserve">Grundlohn</t>
  </si>
  <si>
    <t xml:space="preserve">Projektumsatz pa</t>
  </si>
  <si>
    <t xml:space="preserve">:</t>
  </si>
  <si>
    <t xml:space="preserve">FTExProduktivstunden/FTE pa</t>
  </si>
  <si>
    <t xml:space="preserve">Brutto</t>
  </si>
  <si>
    <t xml:space="preserve">Soziallöhne</t>
  </si>
  <si>
    <t xml:space="preserve">bezahlte Abwesenheit</t>
  </si>
  <si>
    <t xml:space="preserve">VK-Stundensatz</t>
  </si>
  <si>
    <t xml:space="preserve">Schichtzuschlag</t>
  </si>
  <si>
    <t xml:space="preserve">Nachtschicht etc</t>
  </si>
  <si>
    <t xml:space="preserve">Prämie </t>
  </si>
  <si>
    <t xml:space="preserve">Prämie</t>
  </si>
  <si>
    <t xml:space="preserve">AN-Brutto-Lohn</t>
  </si>
  <si>
    <t xml:space="preserve">SV-Zuschläge</t>
  </si>
  <si>
    <t xml:space="preserve">Summe SV</t>
  </si>
  <si>
    <t xml:space="preserve">AG-Brutto-Lohn</t>
  </si>
  <si>
    <t xml:space="preserve">MGK-Zuschlag</t>
  </si>
  <si>
    <t xml:space="preserve">AG-Lohn+MGK</t>
  </si>
  <si>
    <t xml:space="preserve">HV, BU, NL</t>
  </si>
  <si>
    <t xml:space="preserve">Selbstkosten</t>
  </si>
  <si>
    <t xml:space="preserve">Mitarbeiterstundensatz im Verkauf mit Materaial</t>
  </si>
  <si>
    <t xml:space="preserve">- MGK +SK-Zuschlag</t>
  </si>
  <si>
    <t xml:space="preserve">Qualitfikati</t>
  </si>
  <si>
    <t xml:space="preserve">FTE</t>
  </si>
  <si>
    <t xml:space="preserve">Brutto-F</t>
  </si>
  <si>
    <t xml:space="preserve">[SV-pflichtig]</t>
  </si>
  <si>
    <t xml:space="preserve">[SV-Z AG</t>
  </si>
  <si>
    <t xml:space="preserve">=AG-Brutto-Lohn</t>
  </si>
  <si>
    <t xml:space="preserve">[SK-Zuschläg]</t>
  </si>
  <si>
    <t xml:space="preserve">[G+VV]</t>
  </si>
  <si>
    <t xml:space="preserve">= VSSoM</t>
  </si>
  <si>
    <t xml:space="preserve">MGK</t>
  </si>
  <si>
    <t xml:space="preserve">[SK+G+V]</t>
  </si>
  <si>
    <t xml:space="preserve">=MGK-Z[€]</t>
  </si>
  <si>
    <t xml:space="preserve">VSSoM+MGK-Z?=VSSmM</t>
  </si>
</sst>
</file>

<file path=xl/styles.xml><?xml version="1.0" encoding="utf-8"?>
<styleSheet xmlns="http://schemas.openxmlformats.org/spreadsheetml/2006/main">
  <numFmts count="26">
    <numFmt numFmtId="164" formatCode="General"/>
    <numFmt numFmtId="165" formatCode="0%"/>
    <numFmt numFmtId="166" formatCode="_(\$* #,##0.00_);_(\$* \(#,##0.00\);_(\$* \-??_);_(@_)"/>
    <numFmt numFmtId="167" formatCode="m/d/yyyy"/>
    <numFmt numFmtId="168" formatCode="0.0"/>
    <numFmt numFmtId="169" formatCode="_-* #,##0&quot; €&quot;_-;\-* #,##0&quot; €&quot;_-;_-* \-??&quot; €&quot;_-;_-@_-"/>
    <numFmt numFmtId="170" formatCode="0.00%"/>
    <numFmt numFmtId="171" formatCode="0.0%"/>
    <numFmt numFmtId="172" formatCode="#,##0.00"/>
    <numFmt numFmtId="173" formatCode="#,##0"/>
    <numFmt numFmtId="174" formatCode="0.000%"/>
    <numFmt numFmtId="175" formatCode="#,##0.000"/>
    <numFmt numFmtId="176" formatCode="0"/>
    <numFmt numFmtId="177" formatCode="d\-mmm\-yy"/>
    <numFmt numFmtId="178" formatCode="#,##0.00&quot; €&quot;"/>
    <numFmt numFmtId="179" formatCode="General"/>
    <numFmt numFmtId="180" formatCode="0.00"/>
    <numFmt numFmtId="181" formatCode="#,##0&quot; €&quot;"/>
    <numFmt numFmtId="182" formatCode="_-* #,##0.00&quot; €&quot;_-;\-* #,##0.00&quot; €&quot;_-;_-* \-??&quot; €&quot;_-;_-@_-"/>
    <numFmt numFmtId="183" formatCode="_-* #,##0.0000&quot; €&quot;_-;\-* #,##0.0000&quot; €&quot;_-;_-* \-??&quot; €&quot;_-;_-@_-"/>
    <numFmt numFmtId="184" formatCode="0.000"/>
    <numFmt numFmtId="185" formatCode="_-* #,##0.0&quot; €&quot;_-;\-* #,##0.0&quot; €&quot;_-;_-* \-??&quot; €&quot;_-;_-@_-"/>
    <numFmt numFmtId="186" formatCode="@"/>
    <numFmt numFmtId="187" formatCode="#,##0.00\ [$€-407];\-#,##0.00\ [$€-407]"/>
    <numFmt numFmtId="188" formatCode="_-* #,##0\ _€_-;\-* #,##0\ _€_-;_-* \-??\ _€_-;_-@_-"/>
    <numFmt numFmtId="189" formatCode="_-* #,##0.00\ [$€-407]_-;\-* #,##0.00\ [$€-407]_-;_-* \-??\ [$€-407]_-;_-@_-"/>
  </numFmts>
  <fonts count="58">
    <font>
      <sz val="10"/>
      <color theme="1"/>
      <name val="Arial"/>
      <family val="2"/>
      <charset val="1"/>
    </font>
    <font>
      <sz val="10"/>
      <name val="Arial"/>
      <family val="0"/>
    </font>
    <font>
      <sz val="10"/>
      <name val="Arial"/>
      <family val="0"/>
    </font>
    <font>
      <sz val="10"/>
      <name val="Arial"/>
      <family val="0"/>
    </font>
    <font>
      <b val="true"/>
      <sz val="11"/>
      <color rgb="FF3F3F3F"/>
      <name val="Arial"/>
      <family val="2"/>
      <charset val="1"/>
    </font>
    <font>
      <sz val="11"/>
      <color rgb="FF006100"/>
      <name val="Arial"/>
      <family val="2"/>
      <charset val="1"/>
    </font>
    <font>
      <sz val="12"/>
      <name val="Arial"/>
      <family val="2"/>
      <charset val="1"/>
    </font>
    <font>
      <sz val="11"/>
      <color theme="1"/>
      <name val="Arial"/>
      <family val="2"/>
      <charset val="1"/>
    </font>
    <font>
      <sz val="10"/>
      <color theme="1"/>
      <name val="Aptos"/>
      <family val="2"/>
      <charset val="1"/>
    </font>
    <font>
      <b val="true"/>
      <sz val="12"/>
      <color theme="0"/>
      <name val="Aptos"/>
      <family val="2"/>
      <charset val="1"/>
    </font>
    <font>
      <sz val="12"/>
      <color theme="0"/>
      <name val="Aptos"/>
      <family val="2"/>
      <charset val="1"/>
    </font>
    <font>
      <sz val="12"/>
      <color theme="1"/>
      <name val="Aptos"/>
      <family val="2"/>
      <charset val="1"/>
    </font>
    <font>
      <b val="true"/>
      <sz val="12"/>
      <color theme="1"/>
      <name val="Aptos"/>
      <family val="2"/>
      <charset val="1"/>
    </font>
    <font>
      <sz val="11"/>
      <color theme="1"/>
      <name val="Aptos"/>
      <family val="2"/>
      <charset val="1"/>
    </font>
    <font>
      <b val="true"/>
      <sz val="14"/>
      <color theme="1"/>
      <name val="Aptos"/>
      <family val="2"/>
      <charset val="1"/>
    </font>
    <font>
      <sz val="10"/>
      <color theme="7"/>
      <name val="Aptos"/>
      <family val="2"/>
      <charset val="1"/>
    </font>
    <font>
      <sz val="12"/>
      <color theme="7"/>
      <name val="Aptos"/>
      <family val="2"/>
      <charset val="1"/>
    </font>
    <font>
      <b val="true"/>
      <sz val="10"/>
      <color theme="1"/>
      <name val="Aptos"/>
      <family val="2"/>
      <charset val="1"/>
    </font>
    <font>
      <i val="true"/>
      <sz val="10"/>
      <color theme="2" tint="-0.75"/>
      <name val="Aptos"/>
      <family val="2"/>
      <charset val="1"/>
    </font>
    <font>
      <i val="true"/>
      <sz val="10"/>
      <color theme="1"/>
      <name val="Aptos"/>
      <family val="2"/>
      <charset val="1"/>
    </font>
    <font>
      <sz val="11"/>
      <color theme="0"/>
      <name val="Aptos"/>
      <family val="2"/>
      <charset val="1"/>
    </font>
    <font>
      <b val="true"/>
      <sz val="11"/>
      <color theme="0"/>
      <name val="Aptos"/>
      <family val="2"/>
      <charset val="1"/>
    </font>
    <font>
      <b val="true"/>
      <sz val="12"/>
      <color rgb="FF27348B"/>
      <name val="Aptos"/>
      <family val="2"/>
      <charset val="1"/>
    </font>
    <font>
      <sz val="11"/>
      <color rgb="FF27348B"/>
      <name val="Aptos"/>
      <family val="2"/>
      <charset val="1"/>
    </font>
    <font>
      <b val="true"/>
      <sz val="11"/>
      <color theme="1"/>
      <name val="Aptos"/>
      <family val="2"/>
      <charset val="1"/>
    </font>
    <font>
      <b val="true"/>
      <i val="true"/>
      <sz val="11"/>
      <color theme="1"/>
      <name val="Aptos"/>
      <family val="2"/>
      <charset val="1"/>
    </font>
    <font>
      <i val="true"/>
      <sz val="11"/>
      <color theme="1"/>
      <name val="Aptos"/>
      <family val="2"/>
      <charset val="1"/>
    </font>
    <font>
      <i val="true"/>
      <sz val="10"/>
      <color theme="1"/>
      <name val="Arial"/>
      <family val="2"/>
      <charset val="1"/>
    </font>
    <font>
      <sz val="10"/>
      <color theme="0"/>
      <name val="Aptos"/>
      <family val="2"/>
      <charset val="1"/>
    </font>
    <font>
      <sz val="10"/>
      <color rgb="FFFF0000"/>
      <name val="Aptos"/>
      <family val="2"/>
      <charset val="1"/>
    </font>
    <font>
      <sz val="11"/>
      <name val="Aptos"/>
      <family val="2"/>
      <charset val="1"/>
    </font>
    <font>
      <sz val="11"/>
      <color rgb="FFFF0000"/>
      <name val="Aptos"/>
      <family val="2"/>
      <charset val="1"/>
    </font>
    <font>
      <b val="true"/>
      <sz val="10"/>
      <color theme="0"/>
      <name val="Aptos"/>
      <family val="2"/>
      <charset val="1"/>
    </font>
    <font>
      <b val="true"/>
      <sz val="14"/>
      <color theme="0"/>
      <name val="Aptos"/>
      <family val="2"/>
      <charset val="1"/>
    </font>
    <font>
      <b val="true"/>
      <sz val="8"/>
      <color theme="6" tint="-0.5"/>
      <name val="Aptos"/>
      <family val="2"/>
      <charset val="1"/>
    </font>
    <font>
      <sz val="11"/>
      <color theme="6" tint="-0.5"/>
      <name val="Aptos"/>
      <family val="2"/>
      <charset val="1"/>
    </font>
    <font>
      <b val="true"/>
      <sz val="11"/>
      <color theme="6" tint="-0.5"/>
      <name val="Aptos"/>
      <family val="2"/>
      <charset val="1"/>
    </font>
    <font>
      <b val="true"/>
      <sz val="11"/>
      <color theme="3" tint="-0.5"/>
      <name val="Aptos"/>
      <family val="2"/>
      <charset val="1"/>
    </font>
    <font>
      <b val="true"/>
      <sz val="16"/>
      <color theme="0"/>
      <name val="Arial"/>
      <family val="2"/>
      <charset val="1"/>
    </font>
    <font>
      <sz val="14"/>
      <color rgb="FFFFC000"/>
      <name val="Arial"/>
      <family val="2"/>
      <charset val="1"/>
    </font>
    <font>
      <b val="true"/>
      <u val="single"/>
      <sz val="24"/>
      <color rgb="FFFFFF00"/>
      <name val="Arial"/>
      <family val="2"/>
      <charset val="1"/>
    </font>
    <font>
      <u val="single"/>
      <sz val="10"/>
      <color theme="10"/>
      <name val="Arial"/>
      <family val="2"/>
      <charset val="1"/>
    </font>
    <font>
      <b val="true"/>
      <sz val="20"/>
      <name val="Arial"/>
      <family val="2"/>
      <charset val="1"/>
    </font>
    <font>
      <b val="true"/>
      <sz val="11"/>
      <name val="Arial"/>
      <family val="2"/>
      <charset val="1"/>
    </font>
    <font>
      <b val="true"/>
      <sz val="12"/>
      <name val="Arial"/>
      <family val="2"/>
      <charset val="1"/>
    </font>
    <font>
      <sz val="18"/>
      <color theme="0"/>
      <name val="Arial"/>
      <family val="2"/>
      <charset val="1"/>
    </font>
    <font>
      <i val="true"/>
      <sz val="12"/>
      <name val="Arial"/>
      <family val="2"/>
      <charset val="1"/>
    </font>
    <font>
      <sz val="14"/>
      <color theme="0"/>
      <name val="Arial"/>
      <family val="2"/>
      <charset val="1"/>
    </font>
    <font>
      <b val="true"/>
      <sz val="14"/>
      <color rgb="FF006100"/>
      <name val="Arial"/>
      <family val="2"/>
      <charset val="1"/>
    </font>
    <font>
      <b val="true"/>
      <sz val="8"/>
      <color rgb="FFA20000"/>
      <name val="Arial"/>
      <family val="2"/>
      <charset val="1"/>
    </font>
    <font>
      <b val="true"/>
      <sz val="11"/>
      <color rgb="FFFF0000"/>
      <name val="Arial"/>
      <family val="2"/>
      <charset val="1"/>
    </font>
    <font>
      <sz val="9"/>
      <color theme="1"/>
      <name val="Arial"/>
      <family val="2"/>
      <charset val="1"/>
    </font>
    <font>
      <sz val="12"/>
      <color rgb="FF3F3F3F"/>
      <name val="Arial"/>
      <family val="2"/>
      <charset val="1"/>
    </font>
    <font>
      <i val="true"/>
      <sz val="9"/>
      <color theme="1"/>
      <name val="Arial"/>
      <family val="2"/>
      <charset val="1"/>
    </font>
    <font>
      <i val="true"/>
      <sz val="11"/>
      <color theme="8" tint="-0.5"/>
      <name val="Arial"/>
      <family val="2"/>
      <charset val="1"/>
    </font>
    <font>
      <sz val="12"/>
      <color theme="0"/>
      <name val="Arial"/>
      <family val="2"/>
      <charset val="1"/>
    </font>
    <font>
      <sz val="12"/>
      <color rgb="FF3E3E3C"/>
      <name val="Arial"/>
      <family val="2"/>
      <charset val="1"/>
    </font>
    <font>
      <b val="true"/>
      <sz val="14"/>
      <color theme="0"/>
      <name val="Arial"/>
      <family val="2"/>
      <charset val="1"/>
    </font>
  </fonts>
  <fills count="21">
    <fill>
      <patternFill patternType="none"/>
    </fill>
    <fill>
      <patternFill patternType="gray125"/>
    </fill>
    <fill>
      <patternFill patternType="solid">
        <fgColor rgb="FFF2F2F2"/>
        <bgColor rgb="FFF3F3F3"/>
      </patternFill>
    </fill>
    <fill>
      <patternFill patternType="solid">
        <fgColor rgb="FFC6EFCE"/>
        <bgColor rgb="FFDBF2D3"/>
      </patternFill>
    </fill>
    <fill>
      <patternFill patternType="solid">
        <fgColor theme="0"/>
        <bgColor rgb="FFF3F3F3"/>
      </patternFill>
    </fill>
    <fill>
      <patternFill patternType="solid">
        <fgColor rgb="FF27348B"/>
        <bgColor rgb="FF42497B"/>
      </patternFill>
    </fill>
    <fill>
      <patternFill patternType="solid">
        <fgColor theme="3" tint="0.7999"/>
        <bgColor rgb="FFF0F0F0"/>
      </patternFill>
    </fill>
    <fill>
      <patternFill patternType="solid">
        <fgColor rgb="FFFFFF00"/>
        <bgColor rgb="FFFFC000"/>
      </patternFill>
    </fill>
    <fill>
      <patternFill patternType="solid">
        <fgColor rgb="FFD4D6E8"/>
        <bgColor rgb="FFD9D9D9"/>
      </patternFill>
    </fill>
    <fill>
      <patternFill patternType="solid">
        <fgColor rgb="FFF3F3F3"/>
        <bgColor rgb="FFF2F2F2"/>
      </patternFill>
    </fill>
    <fill>
      <patternFill patternType="solid">
        <fgColor theme="1" tint="0.7999"/>
        <bgColor rgb="FFCBCEE3"/>
      </patternFill>
    </fill>
    <fill>
      <patternFill patternType="solid">
        <fgColor theme="6"/>
        <bgColor rgb="FF6D6D6D"/>
      </patternFill>
    </fill>
    <fill>
      <patternFill patternType="solid">
        <fgColor theme="9" tint="0.7999"/>
        <bgColor rgb="FFC6EFCE"/>
      </patternFill>
    </fill>
    <fill>
      <patternFill patternType="solid">
        <fgColor theme="6" tint="0.7999"/>
        <bgColor rgb="FFEEEFF6"/>
      </patternFill>
    </fill>
    <fill>
      <patternFill patternType="solid">
        <fgColor rgb="FFF0F0F0"/>
        <bgColor rgb="FFF2F2F2"/>
      </patternFill>
    </fill>
    <fill>
      <patternFill patternType="solid">
        <fgColor theme="0" tint="-0.25"/>
        <bgColor rgb="FFB7BAD9"/>
      </patternFill>
    </fill>
    <fill>
      <patternFill patternType="solid">
        <fgColor theme="1"/>
        <bgColor rgb="FFB2B2B2"/>
      </patternFill>
    </fill>
    <fill>
      <patternFill patternType="solid">
        <fgColor theme="2" tint="-0.1"/>
        <bgColor rgb="FFBFBFBF"/>
      </patternFill>
    </fill>
    <fill>
      <patternFill patternType="solid">
        <fgColor theme="0" tint="-0.15"/>
        <bgColor rgb="FFDADADA"/>
      </patternFill>
    </fill>
    <fill>
      <patternFill patternType="solid">
        <fgColor theme="3" tint="0.3999"/>
        <bgColor rgb="FFCBD0F0"/>
      </patternFill>
    </fill>
    <fill>
      <patternFill patternType="solid">
        <fgColor theme="8"/>
        <bgColor rgb="FFD9D9D9"/>
      </patternFill>
    </fill>
  </fills>
  <borders count="23">
    <border diagonalUp="false" diagonalDown="false">
      <left/>
      <right/>
      <top/>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style="thin">
        <color theme="7"/>
      </left>
      <right style="thin">
        <color theme="7"/>
      </right>
      <top style="thin">
        <color theme="7"/>
      </top>
      <bottom style="thin">
        <color theme="7"/>
      </bottom>
      <diagonal/>
    </border>
    <border diagonalUp="false" diagonalDown="false">
      <left style="thin">
        <color theme="7"/>
      </left>
      <right style="thin">
        <color theme="7"/>
      </right>
      <top style="thin">
        <color theme="7"/>
      </top>
      <bottom/>
      <diagonal/>
    </border>
    <border diagonalUp="false" diagonalDown="false">
      <left style="thin"/>
      <right style="thin"/>
      <top style="thin"/>
      <bottom style="thin"/>
      <diagonal/>
    </border>
    <border diagonalUp="false" diagonalDown="false">
      <left style="thin">
        <color rgb="FFF3F3F3"/>
      </left>
      <right style="thin">
        <color rgb="FFF3F3F3"/>
      </right>
      <top/>
      <bottom style="thin">
        <color rgb="FFF3F3F3"/>
      </bottom>
      <diagonal/>
    </border>
    <border diagonalUp="false" diagonalDown="false">
      <left style="thin">
        <color theme="7"/>
      </left>
      <right/>
      <top style="thin">
        <color theme="7"/>
      </top>
      <bottom style="thin">
        <color theme="7"/>
      </bottom>
      <diagonal/>
    </border>
    <border diagonalUp="false" diagonalDown="false">
      <left/>
      <right style="thin">
        <color theme="7"/>
      </right>
      <top style="thin">
        <color theme="7"/>
      </top>
      <bottom style="thin">
        <color theme="7"/>
      </bottom>
      <diagonal/>
    </border>
    <border diagonalUp="false" diagonalDown="false">
      <left style="thin">
        <color rgb="FFF3F3F3"/>
      </left>
      <right/>
      <top/>
      <bottom style="thin">
        <color rgb="FFF3F3F3"/>
      </bottom>
      <diagonal/>
    </border>
    <border diagonalUp="false" diagonalDown="false">
      <left style="thin">
        <color theme="7"/>
      </left>
      <right/>
      <top style="thin">
        <color theme="7"/>
      </top>
      <bottom/>
      <diagonal/>
    </border>
    <border diagonalUp="false" diagonalDown="false">
      <left/>
      <right style="thin">
        <color theme="7"/>
      </right>
      <top style="thin">
        <color theme="7"/>
      </top>
      <bottom/>
      <diagonal/>
    </border>
    <border diagonalUp="false" diagonalDown="false">
      <left/>
      <right/>
      <top style="thin">
        <color theme="7"/>
      </top>
      <bottom/>
      <diagonal/>
    </border>
    <border diagonalUp="false" diagonalDown="false">
      <left style="thin">
        <color theme="7"/>
      </left>
      <right/>
      <top/>
      <bottom/>
      <diagonal/>
    </border>
    <border diagonalUp="false" diagonalDown="false">
      <left/>
      <right style="thin">
        <color theme="7"/>
      </right>
      <top/>
      <bottom/>
      <diagonal/>
    </border>
    <border diagonalUp="false" diagonalDown="false">
      <left style="thin">
        <color theme="7"/>
      </left>
      <right/>
      <top/>
      <bottom style="thin">
        <color theme="7"/>
      </bottom>
      <diagonal/>
    </border>
    <border diagonalUp="false" diagonalDown="false">
      <left/>
      <right style="thin">
        <color theme="7"/>
      </right>
      <top/>
      <bottom style="thin">
        <color theme="7"/>
      </bottom>
      <diagonal/>
    </border>
    <border diagonalUp="false" diagonalDown="false">
      <left/>
      <right/>
      <top/>
      <bottom style="thin">
        <color theme="7"/>
      </bottom>
      <diagonal/>
    </border>
    <border diagonalUp="false" diagonalDown="false">
      <left style="thin">
        <color theme="7"/>
      </left>
      <right style="thin">
        <color theme="7"/>
      </right>
      <top/>
      <bottom style="thin">
        <color theme="7"/>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style="thin"/>
      <bottom/>
      <diagonal/>
    </border>
    <border diagonalUp="false" diagonalDown="false">
      <left style="thin"/>
      <right/>
      <top style="thin"/>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42" fontId="1"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164" fontId="41" fillId="0" borderId="0"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xf numFmtId="164" fontId="5" fillId="3" borderId="0" applyFont="true" applyBorder="true" applyAlignment="true" applyProtection="true">
      <alignment horizontal="general" vertical="bottom" textRotation="0" wrapText="false" indent="0" shrinkToFit="false"/>
      <protection locked="true" hidden="false"/>
    </xf>
    <xf numFmtId="165"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6" fontId="7" fillId="0" borderId="0" applyFont="true" applyBorder="true" applyAlignment="true" applyProtection="true">
      <alignment horizontal="general" vertical="bottom" textRotation="0" wrapText="false" indent="0" shrinkToFit="false"/>
      <protection locked="true" hidden="false"/>
    </xf>
  </cellStyleXfs>
  <cellXfs count="349">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center" textRotation="0" wrapText="false" indent="0" shrinkToFit="false"/>
      <protection locked="true" hidden="false"/>
    </xf>
    <xf numFmtId="164" fontId="9" fillId="5" borderId="0" xfId="0" applyFont="true" applyBorder="false" applyAlignment="true" applyProtection="false">
      <alignment horizontal="general" vertical="center" textRotation="0" wrapText="false" indent="0" shrinkToFit="false"/>
      <protection locked="true" hidden="false"/>
    </xf>
    <xf numFmtId="164" fontId="10" fillId="5"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false" applyAlignment="true" applyProtection="false">
      <alignment horizontal="general" vertical="center" textRotation="0" wrapText="false" indent="0" shrinkToFit="false"/>
      <protection locked="true" hidden="false"/>
    </xf>
    <xf numFmtId="164" fontId="11" fillId="4" borderId="0" xfId="0" applyFont="true" applyBorder="false" applyAlignment="true" applyProtection="false">
      <alignment horizontal="general" vertical="center" textRotation="0" wrapText="false" indent="0" shrinkToFit="false"/>
      <protection locked="true" hidden="false"/>
    </xf>
    <xf numFmtId="164" fontId="11"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true" applyProtection="false">
      <alignment horizontal="left" vertical="center" textRotation="0" wrapText="false" indent="5" shrinkToFit="false"/>
      <protection locked="true" hidden="false"/>
    </xf>
    <xf numFmtId="164" fontId="11" fillId="7" borderId="2" xfId="0" applyFont="true" applyBorder="true" applyAlignment="true" applyProtection="false">
      <alignment horizontal="center" vertical="center" textRotation="0" wrapText="false" indent="0" shrinkToFit="false"/>
      <protection locked="true" hidden="false"/>
    </xf>
    <xf numFmtId="164" fontId="13"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true" applyProtection="false">
      <alignment horizontal="left" vertical="center" textRotation="0" wrapText="false" indent="0" shrinkToFit="false"/>
      <protection locked="true" hidden="false"/>
    </xf>
    <xf numFmtId="167" fontId="12" fillId="7" borderId="2" xfId="0" applyFont="true" applyBorder="true" applyAlignment="true" applyProtection="true">
      <alignment horizontal="center" vertical="center" textRotation="0" wrapText="false" indent="0" shrinkToFit="false"/>
      <protection locked="false" hidden="false"/>
    </xf>
    <xf numFmtId="164" fontId="8" fillId="6" borderId="0" xfId="0" applyFont="true" applyBorder="false" applyAlignment="true" applyProtection="false">
      <alignment horizontal="general" vertical="center" textRotation="0" wrapText="false" indent="0" shrinkToFit="false"/>
      <protection locked="true" hidden="false"/>
    </xf>
    <xf numFmtId="167" fontId="12" fillId="7" borderId="3" xfId="0" applyFont="true" applyBorder="true" applyAlignment="true" applyProtection="true">
      <alignment horizontal="center" vertical="center" textRotation="0" wrapText="false" indent="0" shrinkToFit="false"/>
      <protection locked="false" hidden="false"/>
    </xf>
    <xf numFmtId="168" fontId="14" fillId="8" borderId="2" xfId="0" applyFont="true" applyBorder="true" applyAlignment="true" applyProtection="false">
      <alignment horizontal="center" vertical="center" textRotation="0" wrapText="false" indent="0" shrinkToFit="false"/>
      <protection locked="true" hidden="false"/>
    </xf>
    <xf numFmtId="164" fontId="15" fillId="6" borderId="0" xfId="0" applyFont="true" applyBorder="false" applyAlignment="true" applyProtection="false">
      <alignment horizontal="general" vertical="center" textRotation="0" wrapText="false" indent="0" shrinkToFit="false"/>
      <protection locked="true" hidden="false"/>
    </xf>
    <xf numFmtId="164" fontId="15" fillId="4" borderId="0" xfId="0" applyFont="true" applyBorder="false" applyAlignment="true" applyProtection="false">
      <alignment horizontal="general"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7" fontId="11" fillId="7" borderId="2" xfId="0" applyFont="true" applyBorder="true" applyAlignment="true" applyProtection="false">
      <alignment horizontal="center" vertical="center" textRotation="0" wrapText="false" indent="0" shrinkToFit="false"/>
      <protection locked="true" hidden="false"/>
    </xf>
    <xf numFmtId="164" fontId="17" fillId="5" borderId="0" xfId="0" applyFont="true" applyBorder="false" applyAlignment="true" applyProtection="false">
      <alignment horizontal="general" vertical="center" textRotation="0" wrapText="false" indent="0" shrinkToFit="false"/>
      <protection locked="true" hidden="false"/>
    </xf>
    <xf numFmtId="164" fontId="8" fillId="5" borderId="0" xfId="0" applyFont="true" applyBorder="false" applyAlignment="true" applyProtection="false">
      <alignment horizontal="general" vertical="center" textRotation="0" wrapText="false" indent="0" shrinkToFit="false"/>
      <protection locked="true" hidden="false"/>
    </xf>
    <xf numFmtId="164" fontId="9" fillId="4" borderId="0" xfId="0" applyFont="true" applyBorder="false" applyAlignment="true" applyProtection="false">
      <alignment horizontal="general" vertical="center" textRotation="0" wrapText="false" indent="0" shrinkToFit="false"/>
      <protection locked="true" hidden="false"/>
    </xf>
    <xf numFmtId="164" fontId="8" fillId="7" borderId="2" xfId="0" applyFont="true" applyBorder="true" applyAlignment="true" applyProtection="false">
      <alignment horizontal="general" vertical="center" textRotation="0" wrapText="false" indent="0" shrinkToFit="false"/>
      <protection locked="true" hidden="false"/>
    </xf>
    <xf numFmtId="164" fontId="18" fillId="4" borderId="0" xfId="0" applyFont="true" applyBorder="false" applyAlignment="true" applyProtection="false">
      <alignment horizontal="general" vertical="center" textRotation="0" wrapText="false" indent="0" shrinkToFit="false"/>
      <protection locked="true" hidden="false"/>
    </xf>
    <xf numFmtId="164" fontId="8" fillId="9" borderId="2" xfId="0" applyFont="true" applyBorder="true" applyAlignment="true" applyProtection="false">
      <alignment horizontal="general" vertical="center" textRotation="0" wrapText="false" indent="0" shrinkToFit="false"/>
      <protection locked="true" hidden="false"/>
    </xf>
    <xf numFmtId="164" fontId="8" fillId="8" borderId="2" xfId="0" applyFont="true" applyBorder="true" applyAlignment="true" applyProtection="false">
      <alignment horizontal="general" vertical="center" textRotation="0" wrapText="false" indent="0" shrinkToFit="false"/>
      <protection locked="true" hidden="false"/>
    </xf>
    <xf numFmtId="164" fontId="17" fillId="4" borderId="0" xfId="0" applyFont="true" applyBorder="false" applyAlignment="true" applyProtection="false">
      <alignment horizontal="general" vertical="center" textRotation="0" wrapText="false" indent="0" shrinkToFit="false"/>
      <protection locked="true" hidden="false"/>
    </xf>
    <xf numFmtId="164" fontId="17" fillId="4" borderId="0" xfId="0" applyFont="true" applyBorder="false" applyAlignment="true" applyProtection="false">
      <alignment horizontal="general" vertical="top" textRotation="0" wrapText="false" indent="0" shrinkToFit="false"/>
      <protection locked="true" hidden="false"/>
    </xf>
    <xf numFmtId="164" fontId="17" fillId="4" borderId="0"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true" applyProtection="false">
      <alignment horizontal="general" vertical="top" textRotation="0" wrapText="true" indent="0" shrinkToFit="false"/>
      <protection locked="true" hidden="false"/>
    </xf>
    <xf numFmtId="164" fontId="19" fillId="4" borderId="0" xfId="0" applyFont="true" applyBorder="true" applyAlignment="true" applyProtection="false">
      <alignment horizontal="general" vertical="top" textRotation="0" wrapText="true" indent="0" shrinkToFit="false"/>
      <protection locked="true" hidden="false"/>
    </xf>
    <xf numFmtId="164" fontId="13" fillId="4" borderId="0" xfId="0" applyFont="true" applyBorder="false" applyAlignment="true" applyProtection="false">
      <alignment horizontal="general" vertical="center" textRotation="0" wrapText="tru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20" fillId="5" borderId="0" xfId="0" applyFont="true" applyBorder="false" applyAlignment="true" applyProtection="false">
      <alignment horizontal="general" vertical="center" textRotation="0" wrapText="false" indent="0" shrinkToFit="false"/>
      <protection locked="true" hidden="false"/>
    </xf>
    <xf numFmtId="164" fontId="21" fillId="5" borderId="0" xfId="0" applyFont="true" applyBorder="false" applyAlignment="true" applyProtection="false">
      <alignment horizontal="left" vertical="center" textRotation="0" wrapText="false" indent="0" shrinkToFit="false"/>
      <protection locked="true" hidden="false"/>
    </xf>
    <xf numFmtId="167" fontId="21" fillId="5" borderId="0" xfId="0" applyFont="true" applyBorder="false" applyAlignment="true" applyProtection="false">
      <alignment horizontal="general" vertical="center" textRotation="0" wrapText="false" indent="0" shrinkToFit="false"/>
      <protection locked="true" hidden="false"/>
    </xf>
    <xf numFmtId="167" fontId="21" fillId="5" borderId="0" xfId="0" applyFont="true" applyBorder="false" applyAlignment="true" applyProtection="false">
      <alignment horizontal="left" vertical="center" textRotation="0" wrapText="false" indent="0" shrinkToFit="false"/>
      <protection locked="true" hidden="false"/>
    </xf>
    <xf numFmtId="164" fontId="13" fillId="5" borderId="0" xfId="0" applyFont="true" applyBorder="false" applyAlignment="true" applyProtection="false">
      <alignment horizontal="general" vertical="center" textRotation="0" wrapText="false" indent="0" shrinkToFit="false"/>
      <protection locked="true" hidden="false"/>
    </xf>
    <xf numFmtId="169" fontId="21" fillId="5" borderId="0" xfId="17" applyFont="true" applyBorder="false" applyAlignment="true" applyProtection="false">
      <alignment horizontal="general" vertical="center" textRotation="0" wrapText="false" indent="0" shrinkToFit="false"/>
      <protection locked="true" hidden="false"/>
    </xf>
    <xf numFmtId="164" fontId="21" fillId="5" borderId="0" xfId="0" applyFont="true" applyBorder="false" applyAlignment="true" applyProtection="false">
      <alignment horizontal="general" vertical="center" textRotation="0" wrapText="false" indent="0" shrinkToFit="false"/>
      <protection locked="true" hidden="false"/>
    </xf>
    <xf numFmtId="164" fontId="13" fillId="4" borderId="0" xfId="0" applyFont="true" applyBorder="false" applyAlignment="true" applyProtection="false">
      <alignment horizontal="general" vertical="center" textRotation="0" wrapText="false" indent="0" shrinkToFit="false"/>
      <protection locked="true" hidden="false"/>
    </xf>
    <xf numFmtId="164" fontId="20" fillId="4" borderId="0" xfId="0" applyFont="true" applyBorder="false" applyAlignment="true" applyProtection="false">
      <alignment horizontal="general" vertical="center" textRotation="0" wrapText="false" indent="0" shrinkToFit="false"/>
      <protection locked="true" hidden="false"/>
    </xf>
    <xf numFmtId="164" fontId="21" fillId="4" borderId="0" xfId="0" applyFont="true" applyBorder="false" applyAlignment="true" applyProtection="false">
      <alignment horizontal="general"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4" fontId="22" fillId="6" borderId="0" xfId="0" applyFont="true" applyBorder="true" applyAlignment="true" applyProtection="false">
      <alignment horizontal="left" vertical="center" textRotation="0" wrapText="true" indent="0" shrinkToFit="false"/>
      <protection locked="true" hidden="false"/>
    </xf>
    <xf numFmtId="164" fontId="23" fillId="6" borderId="0" xfId="0" applyFont="true" applyBorder="false" applyAlignment="true" applyProtection="false">
      <alignment horizontal="left" vertical="center" textRotation="0" wrapText="true" indent="0" shrinkToFit="false"/>
      <protection locked="true" hidden="false"/>
    </xf>
    <xf numFmtId="164" fontId="23" fillId="4" borderId="0" xfId="0" applyFont="true" applyBorder="false" applyAlignment="true" applyProtection="false">
      <alignment horizontal="left" vertical="center" textRotation="0" wrapText="true" indent="0" shrinkToFit="false"/>
      <protection locked="true" hidden="false"/>
    </xf>
    <xf numFmtId="164" fontId="24" fillId="6" borderId="0" xfId="0" applyFont="true" applyBorder="false" applyAlignment="true" applyProtection="false">
      <alignment horizontal="center" vertical="bottom" textRotation="0" wrapText="true" indent="0" shrinkToFit="false"/>
      <protection locked="true" hidden="false"/>
    </xf>
    <xf numFmtId="164" fontId="13" fillId="6" borderId="0" xfId="0" applyFont="true" applyBorder="false" applyAlignment="true" applyProtection="false">
      <alignment horizontal="left" vertical="center" textRotation="0" wrapText="true" indent="0" shrinkToFit="false"/>
      <protection locked="true" hidden="false"/>
    </xf>
    <xf numFmtId="164" fontId="24" fillId="4" borderId="0" xfId="0" applyFont="true" applyBorder="false" applyAlignment="false" applyProtection="false">
      <alignment horizontal="general" vertical="bottom" textRotation="0" wrapText="false" indent="0" shrinkToFit="false"/>
      <protection locked="true" hidden="false"/>
    </xf>
    <xf numFmtId="164" fontId="24" fillId="4" borderId="0" xfId="0" applyFont="true" applyBorder="false" applyAlignment="true" applyProtection="false">
      <alignment horizontal="center" vertical="center" textRotation="0" wrapText="true" indent="0" shrinkToFit="false"/>
      <protection locked="true" hidden="false"/>
    </xf>
    <xf numFmtId="164" fontId="13" fillId="6" borderId="0" xfId="0" applyFont="true" applyBorder="false" applyAlignment="true" applyProtection="false">
      <alignment horizontal="general" vertical="center" textRotation="0" wrapText="true" indent="0" shrinkToFit="false"/>
      <protection locked="true" hidden="false"/>
    </xf>
    <xf numFmtId="170" fontId="13" fillId="7" borderId="2" xfId="19" applyFont="true" applyBorder="true" applyAlignment="true" applyProtection="true">
      <alignment horizontal="center" vertical="center" textRotation="0" wrapText="true" indent="0" shrinkToFit="false"/>
      <protection locked="false" hidden="false"/>
    </xf>
    <xf numFmtId="164" fontId="24" fillId="6" borderId="2" xfId="0" applyFont="true" applyBorder="true" applyAlignment="true" applyProtection="false">
      <alignment horizontal="center" vertical="center" textRotation="0" wrapText="true" indent="0" shrinkToFit="false"/>
      <protection locked="true" hidden="false"/>
    </xf>
    <xf numFmtId="171" fontId="25" fillId="10" borderId="2" xfId="19" applyFont="true" applyBorder="true" applyAlignment="true" applyProtection="false">
      <alignment horizontal="center" vertical="center" textRotation="0" wrapText="true" indent="0" shrinkToFit="false"/>
      <protection locked="true" hidden="false"/>
    </xf>
    <xf numFmtId="170" fontId="13" fillId="9" borderId="4" xfId="19" applyFont="true" applyBorder="true" applyAlignment="true" applyProtection="false">
      <alignment horizontal="center" vertical="center" textRotation="0" wrapText="false" indent="0" shrinkToFit="false"/>
      <protection locked="true" hidden="false"/>
    </xf>
    <xf numFmtId="164" fontId="13" fillId="6" borderId="0" xfId="0" applyFont="true" applyBorder="false" applyAlignment="true" applyProtection="false">
      <alignment horizontal="center" vertical="center" textRotation="0" wrapText="tru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70" fontId="13" fillId="7" borderId="2" xfId="0" applyFont="true" applyBorder="true" applyAlignment="true" applyProtection="false">
      <alignment horizontal="center" vertical="center" textRotation="0" wrapText="true" indent="0" shrinkToFit="false"/>
      <protection locked="true" hidden="false"/>
    </xf>
    <xf numFmtId="164" fontId="25" fillId="6" borderId="0" xfId="0" applyFont="true" applyBorder="false" applyAlignment="true" applyProtection="false">
      <alignment horizontal="general" vertical="center" textRotation="0" wrapText="true" indent="0" shrinkToFit="false"/>
      <protection locked="true" hidden="false"/>
    </xf>
    <xf numFmtId="170" fontId="25" fillId="10" borderId="2" xfId="0" applyFont="true" applyBorder="true" applyAlignment="true" applyProtection="false">
      <alignment horizontal="center" vertical="center" textRotation="0" wrapText="true" indent="0" shrinkToFit="false"/>
      <protection locked="true" hidden="false"/>
    </xf>
    <xf numFmtId="172" fontId="13" fillId="9" borderId="2" xfId="0" applyFont="true" applyBorder="true" applyAlignment="true" applyProtection="false">
      <alignment horizontal="center" vertical="center" textRotation="0" wrapText="true" indent="0" shrinkToFit="false"/>
      <protection locked="true" hidden="false"/>
    </xf>
    <xf numFmtId="164" fontId="24" fillId="6" borderId="0" xfId="0" applyFont="true" applyBorder="false" applyAlignment="true" applyProtection="false">
      <alignment horizontal="general" vertical="center" textRotation="0" wrapText="true" indent="0" shrinkToFit="false"/>
      <protection locked="true" hidden="false"/>
    </xf>
    <xf numFmtId="173" fontId="13" fillId="7" borderId="2" xfId="0" applyFont="true" applyBorder="true" applyAlignment="true" applyProtection="false">
      <alignment horizontal="center" vertical="center" textRotation="0" wrapText="true" indent="0" shrinkToFit="false"/>
      <protection locked="true" hidden="false"/>
    </xf>
    <xf numFmtId="173" fontId="13" fillId="7" borderId="2" xfId="0" applyFont="true" applyBorder="true" applyAlignment="true" applyProtection="true">
      <alignment horizontal="center" vertical="center" textRotation="0" wrapText="true" indent="0" shrinkToFit="false"/>
      <protection locked="false" hidden="false"/>
    </xf>
    <xf numFmtId="174" fontId="13" fillId="7" borderId="2" xfId="0" applyFont="true" applyBorder="true" applyAlignment="true" applyProtection="false">
      <alignment horizontal="center" vertical="center" textRotation="0" wrapText="true" indent="0" shrinkToFit="false"/>
      <protection locked="true" hidden="false"/>
    </xf>
    <xf numFmtId="170" fontId="13" fillId="9" borderId="4" xfId="0" applyFont="true" applyBorder="true" applyAlignment="true" applyProtection="false">
      <alignment horizontal="center" vertical="center" textRotation="0" wrapText="false" indent="0" shrinkToFit="false"/>
      <protection locked="true" hidden="false"/>
    </xf>
    <xf numFmtId="173" fontId="25" fillId="10" borderId="2" xfId="0" applyFont="true" applyBorder="true" applyAlignment="true" applyProtection="false">
      <alignment horizontal="center" vertical="center" textRotation="0" wrapText="true" indent="0" shrinkToFit="false"/>
      <protection locked="true" hidden="false"/>
    </xf>
    <xf numFmtId="170" fontId="13" fillId="6" borderId="0" xfId="0" applyFont="true" applyBorder="false" applyAlignment="true" applyProtection="false">
      <alignment horizontal="general" vertical="center" textRotation="0" wrapText="true" indent="0" shrinkToFit="false"/>
      <protection locked="true" hidden="false"/>
    </xf>
    <xf numFmtId="170" fontId="13" fillId="9" borderId="4" xfId="0" applyFont="true" applyBorder="true" applyAlignment="true" applyProtection="false">
      <alignment horizontal="center" vertical="center" textRotation="0" wrapText="true" indent="0" shrinkToFit="false"/>
      <protection locked="true" hidden="false"/>
    </xf>
    <xf numFmtId="164" fontId="26" fillId="6" borderId="0" xfId="0" applyFont="true" applyBorder="false" applyAlignment="true" applyProtection="false">
      <alignment horizontal="general" vertical="center" textRotation="0" wrapText="false" indent="0" shrinkToFit="false"/>
      <protection locked="true" hidden="false"/>
    </xf>
    <xf numFmtId="174" fontId="13" fillId="4" borderId="0" xfId="0" applyFont="true" applyBorder="false" applyAlignment="true" applyProtection="false">
      <alignment horizontal="center" vertical="center" textRotation="0" wrapText="true" indent="0" shrinkToFit="false"/>
      <protection locked="true" hidden="false"/>
    </xf>
    <xf numFmtId="164" fontId="13" fillId="6" borderId="0" xfId="0" applyFont="true" applyBorder="false" applyAlignment="true" applyProtection="true">
      <alignment horizontal="general" vertical="center" textRotation="0" wrapText="true" indent="0" shrinkToFit="false"/>
      <protection locked="false" hidden="false"/>
    </xf>
    <xf numFmtId="172" fontId="13" fillId="6" borderId="0" xfId="0" applyFont="true" applyBorder="false" applyAlignment="true" applyProtection="false">
      <alignment horizontal="general" vertical="center" textRotation="0" wrapText="true" indent="0" shrinkToFit="false"/>
      <protection locked="true" hidden="false"/>
    </xf>
    <xf numFmtId="172" fontId="13" fillId="4" borderId="0" xfId="0" applyFont="true" applyBorder="false" applyAlignment="true" applyProtection="false">
      <alignment horizontal="general" vertical="center" textRotation="0" wrapText="true" indent="0" shrinkToFit="false"/>
      <protection locked="true" hidden="false"/>
    </xf>
    <xf numFmtId="172" fontId="13" fillId="7" borderId="2" xfId="0" applyFont="true" applyBorder="true" applyAlignment="true" applyProtection="true">
      <alignment horizontal="center" vertical="center" textRotation="0" wrapText="true" indent="0" shrinkToFit="false"/>
      <protection locked="false" hidden="false"/>
    </xf>
    <xf numFmtId="172" fontId="25" fillId="10" borderId="2" xfId="0" applyFont="true" applyBorder="true" applyAlignment="true" applyProtection="false">
      <alignment horizontal="center" vertical="center" textRotation="0" wrapText="true" indent="0" shrinkToFit="false"/>
      <protection locked="true" hidden="false"/>
    </xf>
    <xf numFmtId="175" fontId="25" fillId="6" borderId="0" xfId="0" applyFont="true" applyBorder="false" applyAlignment="true" applyProtection="false">
      <alignment horizontal="general" vertical="center" textRotation="0" wrapText="true" indent="0" shrinkToFit="false"/>
      <protection locked="true" hidden="false"/>
    </xf>
    <xf numFmtId="176" fontId="24" fillId="6" borderId="0" xfId="0" applyFont="true" applyBorder="false" applyAlignment="true" applyProtection="false">
      <alignment horizontal="general" vertical="center" textRotation="0" wrapText="true" indent="0" shrinkToFit="false"/>
      <protection locked="true" hidden="false"/>
    </xf>
    <xf numFmtId="170" fontId="13" fillId="4" borderId="0" xfId="19" applyFont="true" applyBorder="false" applyAlignment="true" applyProtection="false">
      <alignment horizontal="general" vertical="center" textRotation="0" wrapText="true" indent="0" shrinkToFit="false"/>
      <protection locked="true" hidden="false"/>
    </xf>
    <xf numFmtId="164" fontId="20" fillId="4" borderId="0" xfId="0" applyFont="true" applyBorder="false" applyAlignment="true" applyProtection="false">
      <alignment horizontal="left" vertical="bottom" textRotation="0" wrapText="true" indent="0" shrinkToFit="false"/>
      <protection locked="true" hidden="false"/>
    </xf>
    <xf numFmtId="164" fontId="20" fillId="4" borderId="0" xfId="0" applyFont="true" applyBorder="false" applyAlignment="true" applyProtection="false">
      <alignment horizontal="general" vertical="top" textRotation="0" wrapText="true" indent="0" shrinkToFit="false"/>
      <protection locked="true" hidden="false"/>
    </xf>
    <xf numFmtId="164" fontId="20" fillId="4" borderId="0" xfId="0" applyFont="true" applyBorder="false" applyAlignment="true" applyProtection="false">
      <alignment horizontal="center" vertical="center" textRotation="0" wrapText="true" indent="0" shrinkToFit="false"/>
      <protection locked="true" hidden="false"/>
    </xf>
    <xf numFmtId="164" fontId="20" fillId="4" borderId="0" xfId="0" applyFont="true" applyBorder="false" applyAlignment="true" applyProtection="false">
      <alignment horizontal="general" vertical="center" textRotation="0" wrapText="true" indent="0" shrinkToFit="false"/>
      <protection locked="true" hidden="false"/>
    </xf>
    <xf numFmtId="170" fontId="20" fillId="4" borderId="0" xfId="19" applyFont="true" applyBorder="false" applyAlignment="true" applyProtection="false">
      <alignment horizontal="general" vertical="center" textRotation="0" wrapText="tru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24" fillId="4" borderId="0" xfId="0" applyFont="true" applyBorder="false" applyAlignment="true" applyProtection="false">
      <alignment horizontal="left" vertical="bottom" textRotation="0" wrapText="false" indent="0" shrinkToFit="false"/>
      <protection locked="true" hidden="false"/>
    </xf>
    <xf numFmtId="164" fontId="24" fillId="4" borderId="0" xfId="0" applyFont="true" applyBorder="false" applyAlignment="true" applyProtection="false">
      <alignment horizontal="center" vertical="bottom" textRotation="0" wrapText="false" indent="0" shrinkToFit="false"/>
      <protection locked="true" hidden="false"/>
    </xf>
    <xf numFmtId="164" fontId="21" fillId="5" borderId="2" xfId="0" applyFont="true" applyBorder="true" applyAlignment="false" applyProtection="false">
      <alignment horizontal="general" vertical="bottom" textRotation="0" wrapText="false" indent="0" shrinkToFit="false"/>
      <protection locked="true" hidden="false"/>
    </xf>
    <xf numFmtId="164" fontId="21" fillId="5" borderId="2" xfId="0" applyFont="true" applyBorder="true" applyAlignment="true" applyProtection="false">
      <alignment horizontal="general" vertical="center" textRotation="0" wrapText="false" indent="0" shrinkToFit="false"/>
      <protection locked="true" hidden="false"/>
    </xf>
    <xf numFmtId="164" fontId="21" fillId="5" borderId="2" xfId="0" applyFont="true" applyBorder="true" applyAlignment="true" applyProtection="false">
      <alignment horizontal="center" vertical="bottom" textRotation="0" wrapText="false" indent="0" shrinkToFit="false"/>
      <protection locked="true" hidden="false"/>
    </xf>
    <xf numFmtId="177" fontId="24" fillId="9" borderId="2" xfId="0" applyFont="true" applyBorder="true" applyAlignment="true" applyProtection="false">
      <alignment horizontal="right" vertical="bottom" textRotation="0" wrapText="false" indent="0" shrinkToFit="false"/>
      <protection locked="true" hidden="false"/>
    </xf>
    <xf numFmtId="164" fontId="13" fillId="9" borderId="2" xfId="0" applyFont="true" applyBorder="true" applyAlignment="true" applyProtection="false">
      <alignment horizontal="general" vertical="bottom" textRotation="0" wrapText="true" indent="0" shrinkToFit="false"/>
      <protection locked="true" hidden="false"/>
    </xf>
    <xf numFmtId="164" fontId="13" fillId="9" borderId="2" xfId="0" applyFont="true" applyBorder="true" applyAlignment="false" applyProtection="false">
      <alignment horizontal="general" vertical="bottom" textRotation="0" wrapText="false" indent="0" shrinkToFit="false"/>
      <protection locked="true" hidden="false"/>
    </xf>
    <xf numFmtId="170" fontId="13" fillId="9" borderId="2" xfId="0" applyFont="true" applyBorder="true" applyAlignment="true" applyProtection="false">
      <alignment horizontal="center" vertical="bottom" textRotation="0" wrapText="false" indent="0" shrinkToFit="false"/>
      <protection locked="true" hidden="false"/>
    </xf>
    <xf numFmtId="164" fontId="21" fillId="11" borderId="2" xfId="0" applyFont="true" applyBorder="true" applyAlignment="true" applyProtection="false">
      <alignment horizontal="center" vertical="bottom" textRotation="0" wrapText="false" indent="0" shrinkToFit="false"/>
      <protection locked="true" hidden="false"/>
    </xf>
    <xf numFmtId="164" fontId="24" fillId="10" borderId="2" xfId="0" applyFont="true" applyBorder="true" applyAlignment="false" applyProtection="false">
      <alignment horizontal="general" vertical="bottom" textRotation="0" wrapText="false" indent="0" shrinkToFit="false"/>
      <protection locked="true" hidden="false"/>
    </xf>
    <xf numFmtId="164" fontId="24" fillId="10" borderId="2" xfId="0" applyFont="true" applyBorder="true" applyAlignment="true" applyProtection="false">
      <alignment horizontal="general" vertical="bottom" textRotation="0" wrapText="true" indent="0" shrinkToFit="false"/>
      <protection locked="true" hidden="false"/>
    </xf>
    <xf numFmtId="170" fontId="24" fillId="10" borderId="2" xfId="19" applyFont="true" applyBorder="true" applyAlignment="true" applyProtection="false">
      <alignment horizontal="right" vertical="bottom" textRotation="0" wrapText="false" indent="1" shrinkToFit="false"/>
      <protection locked="true" hidden="false"/>
    </xf>
    <xf numFmtId="178" fontId="24" fillId="12" borderId="2" xfId="0" applyFont="true" applyBorder="true" applyAlignment="true" applyProtection="false">
      <alignment horizontal="center" vertical="center" textRotation="0" wrapText="false" indent="0" shrinkToFit="false"/>
      <protection locked="true" hidden="false"/>
    </xf>
    <xf numFmtId="179" fontId="27" fillId="13" borderId="2" xfId="0" applyFont="true" applyBorder="true" applyAlignment="true" applyProtection="false">
      <alignment horizontal="center" vertical="bottom" textRotation="0" wrapText="false" indent="0" shrinkToFit="false"/>
      <protection locked="true" hidden="false"/>
    </xf>
    <xf numFmtId="165" fontId="27" fillId="13" borderId="2" xfId="19" applyFont="true" applyBorder="true" applyAlignment="true" applyProtection="false">
      <alignment horizontal="center" vertical="bottom" textRotation="0" wrapText="false" indent="0" shrinkToFit="false"/>
      <protection locked="true" hidden="false"/>
    </xf>
    <xf numFmtId="164" fontId="24" fillId="9" borderId="2" xfId="0" applyFont="true" applyBorder="true" applyAlignment="false" applyProtection="false">
      <alignment horizontal="general" vertical="bottom" textRotation="0" wrapText="false" indent="0" shrinkToFit="false"/>
      <protection locked="true" hidden="false"/>
    </xf>
    <xf numFmtId="170" fontId="13" fillId="9" borderId="2" xfId="0" applyFont="true" applyBorder="true" applyAlignment="true" applyProtection="false">
      <alignment horizontal="right" vertical="bottom" textRotation="0" wrapText="false" indent="1" shrinkToFit="false"/>
      <protection locked="true" hidden="false"/>
    </xf>
    <xf numFmtId="178" fontId="13" fillId="9" borderId="2" xfId="0" applyFont="true" applyBorder="true" applyAlignment="true" applyProtection="false">
      <alignment horizontal="center" vertical="center" textRotation="0" wrapText="false" indent="0" shrinkToFit="false"/>
      <protection locked="true" hidden="false"/>
    </xf>
    <xf numFmtId="178" fontId="24" fillId="10" borderId="2" xfId="0" applyFont="true" applyBorder="true" applyAlignment="true" applyProtection="false">
      <alignment horizontal="center" vertical="center" textRotation="0" wrapText="false" indent="0" shrinkToFit="false"/>
      <protection locked="true" hidden="false"/>
    </xf>
    <xf numFmtId="170" fontId="13" fillId="9" borderId="2" xfId="19" applyFont="true" applyBorder="true" applyAlignment="true" applyProtection="false">
      <alignment horizontal="right" vertical="bottom" textRotation="0" wrapText="false" indent="1" shrinkToFit="false"/>
      <protection locked="true" hidden="false"/>
    </xf>
    <xf numFmtId="170" fontId="24" fillId="10" borderId="2" xfId="0" applyFont="true" applyBorder="true" applyAlignment="true" applyProtection="false">
      <alignment horizontal="right" vertical="bottom" textRotation="0" wrapText="false" indent="1" shrinkToFit="false"/>
      <protection locked="true" hidden="false"/>
    </xf>
    <xf numFmtId="164" fontId="0" fillId="4" borderId="5" xfId="0" applyFont="true" applyBorder="true" applyAlignment="true" applyProtection="false">
      <alignment horizontal="center" vertical="bottom" textRotation="0" wrapText="false" indent="0" shrinkToFit="false"/>
      <protection locked="true" hidden="false"/>
    </xf>
    <xf numFmtId="168" fontId="27" fillId="4" borderId="5" xfId="0" applyFont="true" applyBorder="true" applyAlignment="true" applyProtection="false">
      <alignment horizontal="center" vertical="bottom" textRotation="0" wrapText="false" indent="0" shrinkToFit="false"/>
      <protection locked="true" hidden="false"/>
    </xf>
    <xf numFmtId="180" fontId="27" fillId="4" borderId="5" xfId="0" applyFont="true" applyBorder="true" applyAlignment="true" applyProtection="false">
      <alignment horizontal="center" vertical="bottom" textRotation="0" wrapText="false" indent="0" shrinkToFit="false"/>
      <protection locked="true" hidden="false"/>
    </xf>
    <xf numFmtId="176" fontId="27" fillId="13" borderId="2" xfId="0" applyFont="true" applyBorder="true" applyAlignment="true" applyProtection="false">
      <alignment horizontal="center" vertical="bottom" textRotation="0" wrapText="false" indent="0" shrinkToFit="false"/>
      <protection locked="true" hidden="false"/>
    </xf>
    <xf numFmtId="173" fontId="8" fillId="4" borderId="0" xfId="0" applyFont="true" applyBorder="false" applyAlignment="false" applyProtection="false">
      <alignment horizontal="general" vertical="bottom" textRotation="0" wrapText="false" indent="0" shrinkToFit="false"/>
      <protection locked="true" hidden="false"/>
    </xf>
    <xf numFmtId="164" fontId="21" fillId="11" borderId="0" xfId="0" applyFont="true" applyBorder="false" applyAlignment="false" applyProtection="false">
      <alignment horizontal="general" vertical="bottom" textRotation="0" wrapText="false" indent="0" shrinkToFit="false"/>
      <protection locked="true" hidden="false"/>
    </xf>
    <xf numFmtId="164" fontId="20" fillId="11" borderId="0" xfId="0" applyFont="true" applyBorder="false" applyAlignment="false" applyProtection="false">
      <alignment horizontal="general" vertical="bottom" textRotation="0" wrapText="false" indent="0" shrinkToFit="false"/>
      <protection locked="true" hidden="false"/>
    </xf>
    <xf numFmtId="164" fontId="24" fillId="10" borderId="0" xfId="0" applyFont="true" applyBorder="false" applyAlignment="false" applyProtection="false">
      <alignment horizontal="general" vertical="bottom" textRotation="0" wrapText="false" indent="0" shrinkToFit="false"/>
      <protection locked="true" hidden="false"/>
    </xf>
    <xf numFmtId="164" fontId="13" fillId="10" borderId="0" xfId="0" applyFont="true" applyBorder="false" applyAlignment="false" applyProtection="false">
      <alignment horizontal="general" vertical="bottom" textRotation="0" wrapText="false" indent="0" shrinkToFit="false"/>
      <protection locked="true" hidden="false"/>
    </xf>
    <xf numFmtId="164" fontId="21" fillId="5" borderId="0" xfId="0" applyFont="true" applyBorder="false" applyAlignment="false" applyProtection="false">
      <alignment horizontal="general" vertical="bottom" textRotation="0" wrapText="false" indent="0" shrinkToFit="false"/>
      <protection locked="true" hidden="false"/>
    </xf>
    <xf numFmtId="164" fontId="20" fillId="5" borderId="0" xfId="0" applyFont="true" applyBorder="false" applyAlignment="false" applyProtection="false">
      <alignment horizontal="general" vertical="bottom" textRotation="0" wrapText="false" indent="0" shrinkToFit="false"/>
      <protection locked="true" hidden="false"/>
    </xf>
    <xf numFmtId="171" fontId="19" fillId="4" borderId="0" xfId="19" applyFont="true" applyBorder="false" applyAlignment="false" applyProtection="false">
      <alignment horizontal="general" vertical="bottom" textRotation="0" wrapText="false" indent="0" shrinkToFit="false"/>
      <protection locked="true" hidden="false"/>
    </xf>
    <xf numFmtId="164" fontId="24" fillId="8" borderId="2" xfId="0" applyFont="true" applyBorder="true" applyAlignment="true" applyProtection="false">
      <alignment horizontal="center" vertical="center" textRotation="0" wrapText="false" indent="0" shrinkToFit="false"/>
      <protection locked="true" hidden="false"/>
    </xf>
    <xf numFmtId="164" fontId="17" fillId="8" borderId="2" xfId="0" applyFont="true" applyBorder="true" applyAlignment="true" applyProtection="false">
      <alignment horizontal="center" vertical="bottom" textRotation="0" wrapText="true" indent="0" shrinkToFit="false"/>
      <protection locked="true" hidden="false"/>
    </xf>
    <xf numFmtId="164" fontId="24" fillId="8" borderId="2" xfId="0" applyFont="true" applyBorder="true" applyAlignment="true" applyProtection="false">
      <alignment horizontal="center" vertical="bottom" textRotation="0" wrapText="true" indent="0" shrinkToFit="false"/>
      <protection locked="true" hidden="false"/>
    </xf>
    <xf numFmtId="164" fontId="13" fillId="4" borderId="0" xfId="0" applyFont="true" applyBorder="false" applyAlignment="true" applyProtection="false">
      <alignment horizontal="center" vertical="bottom" textRotation="0" wrapText="false" indent="0" shrinkToFit="false"/>
      <protection locked="true" hidden="false"/>
    </xf>
    <xf numFmtId="164" fontId="24" fillId="10" borderId="2" xfId="0" applyFont="true" applyBorder="true" applyAlignment="true" applyProtection="false">
      <alignment horizontal="center" vertical="bottom" textRotation="0" wrapText="false" indent="0" shrinkToFit="false"/>
      <protection locked="true" hidden="false"/>
    </xf>
    <xf numFmtId="164" fontId="24" fillId="4" borderId="2" xfId="0" applyFont="true" applyBorder="true" applyAlignment="true" applyProtection="false">
      <alignment horizontal="center" vertical="bottom" textRotation="0" wrapText="true" indent="0" shrinkToFit="false"/>
      <protection locked="true" hidden="false"/>
    </xf>
    <xf numFmtId="164" fontId="24" fillId="10" borderId="2" xfId="0" applyFont="true" applyBorder="true" applyAlignment="true" applyProtection="false">
      <alignment horizontal="center" vertical="bottom" textRotation="0" wrapText="true" indent="0" shrinkToFit="false"/>
      <protection locked="true" hidden="false"/>
    </xf>
    <xf numFmtId="164" fontId="24" fillId="4" borderId="2" xfId="0" applyFont="true" applyBorder="true" applyAlignment="true" applyProtection="false">
      <alignment horizontal="center" vertical="bottom" textRotation="0" wrapText="false" indent="0" shrinkToFit="false"/>
      <protection locked="true" hidden="false"/>
    </xf>
    <xf numFmtId="164" fontId="28" fillId="5" borderId="0" xfId="0" applyFont="true" applyBorder="false" applyAlignment="true" applyProtection="false">
      <alignment horizontal="center" vertical="bottom" textRotation="0" wrapText="true" indent="0" shrinkToFit="false"/>
      <protection locked="true" hidden="false"/>
    </xf>
    <xf numFmtId="164" fontId="24" fillId="4" borderId="2" xfId="0" applyFont="true" applyBorder="true" applyAlignment="true" applyProtection="false">
      <alignment horizontal="center" vertical="center" textRotation="0" wrapText="false" indent="0" shrinkToFit="false"/>
      <protection locked="true" hidden="false"/>
    </xf>
    <xf numFmtId="164" fontId="13" fillId="7" borderId="2" xfId="0" applyFont="true" applyBorder="true" applyAlignment="true" applyProtection="false">
      <alignment horizontal="general" vertical="center" textRotation="0" wrapText="false" indent="0" shrinkToFit="false"/>
      <protection locked="true" hidden="false"/>
    </xf>
    <xf numFmtId="168" fontId="24" fillId="7" borderId="2" xfId="0" applyFont="true" applyBorder="true" applyAlignment="true" applyProtection="false">
      <alignment horizontal="center" vertical="center" textRotation="0" wrapText="false" indent="0" shrinkToFit="false"/>
      <protection locked="true" hidden="false"/>
    </xf>
    <xf numFmtId="181" fontId="24" fillId="7" borderId="2" xfId="17" applyFont="true" applyBorder="true" applyAlignment="true" applyProtection="false">
      <alignment horizontal="center" vertical="center" textRotation="0" wrapText="false" indent="0" shrinkToFit="false"/>
      <protection locked="true" hidden="false"/>
    </xf>
    <xf numFmtId="170" fontId="13" fillId="7" borderId="2" xfId="0" applyFont="true" applyBorder="true" applyAlignment="true" applyProtection="false">
      <alignment horizontal="center" vertical="center" textRotation="0" wrapText="false" indent="0" shrinkToFit="false"/>
      <protection locked="true" hidden="false"/>
    </xf>
    <xf numFmtId="180" fontId="13" fillId="9" borderId="2" xfId="0" applyFont="true" applyBorder="true" applyAlignment="true" applyProtection="false">
      <alignment horizontal="center" vertical="center" textRotation="0" wrapText="false" indent="0" shrinkToFit="false"/>
      <protection locked="true" hidden="false"/>
    </xf>
    <xf numFmtId="181" fontId="13" fillId="13" borderId="2" xfId="17" applyFont="true" applyBorder="true" applyAlignment="true" applyProtection="false">
      <alignment horizontal="general" vertical="center" textRotation="0" wrapText="false" indent="0" shrinkToFit="false"/>
      <protection locked="true" hidden="false"/>
    </xf>
    <xf numFmtId="182" fontId="13" fillId="9" borderId="2" xfId="17" applyFont="true" applyBorder="true" applyAlignment="true" applyProtection="false">
      <alignment horizontal="general" vertical="center" textRotation="0" wrapText="false" indent="0" shrinkToFit="false"/>
      <protection locked="true" hidden="false"/>
    </xf>
    <xf numFmtId="182" fontId="13" fillId="4" borderId="2" xfId="0" applyFont="true" applyBorder="true" applyAlignment="true" applyProtection="false">
      <alignment horizontal="general" vertical="center" textRotation="0" wrapText="false" indent="0" shrinkToFit="false"/>
      <protection locked="true" hidden="false"/>
    </xf>
    <xf numFmtId="182" fontId="13" fillId="9" borderId="2" xfId="0" applyFont="true" applyBorder="true" applyAlignment="true" applyProtection="false">
      <alignment horizontal="general" vertical="center" textRotation="0" wrapText="false" indent="0" shrinkToFit="false"/>
      <protection locked="true" hidden="false"/>
    </xf>
    <xf numFmtId="182" fontId="13" fillId="4" borderId="2" xfId="17" applyFont="true" applyBorder="true" applyAlignment="true" applyProtection="false">
      <alignment horizontal="general" vertical="center" textRotation="0" wrapText="false" indent="0" shrinkToFit="false"/>
      <protection locked="true" hidden="false"/>
    </xf>
    <xf numFmtId="168" fontId="13" fillId="9" borderId="4" xfId="0" applyFont="true" applyBorder="true" applyAlignment="true" applyProtection="false">
      <alignment horizontal="center" vertical="center" textRotation="0" wrapText="false" indent="0" shrinkToFit="false"/>
      <protection locked="true" hidden="false"/>
    </xf>
    <xf numFmtId="182" fontId="13" fillId="9" borderId="4" xfId="0" applyFont="true" applyBorder="true" applyAlignment="true" applyProtection="false">
      <alignment horizontal="general" vertical="center" textRotation="0" wrapText="false" indent="0" shrinkToFit="false"/>
      <protection locked="true" hidden="false"/>
    </xf>
    <xf numFmtId="182" fontId="13" fillId="4" borderId="0" xfId="0" applyFont="true" applyBorder="false" applyAlignment="true" applyProtection="false">
      <alignment horizontal="general" vertical="center" textRotation="0" wrapText="false" indent="0" shrinkToFit="false"/>
      <protection locked="true" hidden="false"/>
    </xf>
    <xf numFmtId="164" fontId="8" fillId="10" borderId="6" xfId="0" applyFont="true" applyBorder="true" applyAlignment="false" applyProtection="false">
      <alignment horizontal="general" vertical="bottom" textRotation="0" wrapText="false" indent="0" shrinkToFit="false"/>
      <protection locked="true" hidden="false"/>
    </xf>
    <xf numFmtId="164" fontId="8" fillId="10" borderId="7" xfId="0" applyFont="true" applyBorder="true" applyAlignment="false" applyProtection="false">
      <alignment horizontal="general" vertical="bottom" textRotation="0" wrapText="false" indent="0" shrinkToFit="false"/>
      <protection locked="true" hidden="false"/>
    </xf>
    <xf numFmtId="180" fontId="24" fillId="10" borderId="2" xfId="0" applyFont="true" applyBorder="true" applyAlignment="true" applyProtection="false">
      <alignment horizontal="center" vertical="bottom" textRotation="0" wrapText="false" indent="0" shrinkToFit="false"/>
      <protection locked="true" hidden="false"/>
    </xf>
    <xf numFmtId="168" fontId="17" fillId="8" borderId="4" xfId="0" applyFont="true" applyBorder="true" applyAlignment="true" applyProtection="false">
      <alignment horizontal="center" vertical="bottom" textRotation="0" wrapText="false" indent="0" shrinkToFit="false"/>
      <protection locked="true" hidden="false"/>
    </xf>
    <xf numFmtId="182" fontId="17" fillId="8" borderId="4" xfId="0" applyFont="true" applyBorder="true" applyAlignment="false" applyProtection="false">
      <alignment horizontal="general" vertical="bottom" textRotation="0" wrapText="false" indent="0" shrinkToFit="false"/>
      <protection locked="true" hidden="false"/>
    </xf>
    <xf numFmtId="182" fontId="8" fillId="4" borderId="0" xfId="0" applyFont="true" applyBorder="false" applyAlignment="false" applyProtection="false">
      <alignment horizontal="general" vertical="bottom" textRotation="0" wrapText="false" indent="0" shrinkToFit="false"/>
      <protection locked="true" hidden="false"/>
    </xf>
    <xf numFmtId="182" fontId="29" fillId="4" borderId="0" xfId="17" applyFont="true" applyBorder="false" applyAlignment="false" applyProtection="false">
      <alignment horizontal="general" vertical="bottom" textRotation="0" wrapText="false" indent="0" shrinkToFit="false"/>
      <protection locked="true" hidden="false"/>
    </xf>
    <xf numFmtId="170" fontId="8" fillId="4" borderId="0" xfId="19"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70" fontId="30" fillId="4" borderId="0" xfId="19" applyFont="true" applyBorder="false" applyAlignment="true" applyProtection="false">
      <alignment horizontal="right" vertical="center" textRotation="0" wrapText="false" indent="0" shrinkToFit="false"/>
      <protection locked="true" hidden="false"/>
    </xf>
    <xf numFmtId="170" fontId="30" fillId="4" borderId="0" xfId="0" applyFont="true" applyBorder="false" applyAlignment="true" applyProtection="false">
      <alignment horizontal="general" vertical="center" textRotation="0" wrapText="false" indent="0" shrinkToFit="false"/>
      <protection locked="true" hidden="false"/>
    </xf>
    <xf numFmtId="164" fontId="30" fillId="4"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center" vertical="bottom" textRotation="0" wrapText="false" indent="0" shrinkToFit="false"/>
      <protection locked="true" hidden="false"/>
    </xf>
    <xf numFmtId="183" fontId="13" fillId="4" borderId="0" xfId="17" applyFont="true" applyBorder="false" applyAlignment="true" applyProtection="false">
      <alignment horizontal="general" vertical="bottom" textRotation="0" wrapText="true" indent="0" shrinkToFit="false"/>
      <protection locked="true" hidden="false"/>
    </xf>
    <xf numFmtId="182" fontId="13" fillId="4" borderId="0" xfId="0" applyFont="true" applyBorder="false" applyAlignment="true" applyProtection="false">
      <alignment horizontal="right" vertical="center" textRotation="0" wrapText="false" indent="0" shrinkToFit="false"/>
      <protection locked="true" hidden="false"/>
    </xf>
    <xf numFmtId="176" fontId="27" fillId="4" borderId="0" xfId="0" applyFont="true" applyBorder="false" applyAlignment="true" applyProtection="false">
      <alignment horizontal="center" vertical="bottom" textRotation="0" wrapText="false" indent="0" shrinkToFit="false"/>
      <protection locked="true" hidden="false"/>
    </xf>
    <xf numFmtId="184" fontId="13" fillId="4" borderId="0" xfId="0" applyFont="true" applyBorder="false" applyAlignment="false" applyProtection="false">
      <alignment horizontal="general" vertical="bottom" textRotation="0" wrapText="false" indent="0" shrinkToFit="false"/>
      <protection locked="true" hidden="false"/>
    </xf>
    <xf numFmtId="170" fontId="13" fillId="4" borderId="0" xfId="0" applyFont="true" applyBorder="false" applyAlignment="true" applyProtection="false">
      <alignment horizontal="right" vertical="center" textRotation="0" wrapText="false" indent="0" shrinkToFit="false"/>
      <protection locked="true" hidden="false"/>
    </xf>
    <xf numFmtId="164" fontId="13" fillId="4" borderId="0" xfId="0" applyFont="true" applyBorder="false" applyAlignment="true" applyProtection="false">
      <alignment horizontal="right" vertical="center" textRotation="0" wrapText="false" indent="0" shrinkToFit="false"/>
      <protection locked="true" hidden="false"/>
    </xf>
    <xf numFmtId="180" fontId="27" fillId="4" borderId="8" xfId="0" applyFont="true" applyBorder="true" applyAlignment="true" applyProtection="false">
      <alignment horizontal="center" vertical="bottom" textRotation="0" wrapText="false" indent="0" shrinkToFit="false"/>
      <protection locked="true" hidden="false"/>
    </xf>
    <xf numFmtId="168" fontId="27" fillId="4" borderId="0" xfId="0" applyFont="true" applyBorder="false" applyAlignment="true" applyProtection="false">
      <alignment horizontal="center" vertical="bottom" textRotation="0" wrapText="false" indent="0" shrinkToFit="false"/>
      <protection locked="true" hidden="false"/>
    </xf>
    <xf numFmtId="172" fontId="13" fillId="4" borderId="0" xfId="0" applyFont="true" applyBorder="false" applyAlignment="false" applyProtection="false">
      <alignment horizontal="general" vertical="bottom" textRotation="0" wrapText="false" indent="0" shrinkToFit="false"/>
      <protection locked="true" hidden="false"/>
    </xf>
    <xf numFmtId="164" fontId="28" fillId="5" borderId="2" xfId="0" applyFont="true" applyBorder="true" applyAlignment="true" applyProtection="false">
      <alignment horizontal="center" vertical="bottom" textRotation="0" wrapText="true" indent="0" shrinkToFit="false"/>
      <protection locked="true" hidden="false"/>
    </xf>
    <xf numFmtId="182" fontId="21" fillId="4" borderId="0" xfId="0" applyFont="true" applyBorder="false" applyAlignment="true" applyProtection="false">
      <alignment horizontal="center" vertical="center" textRotation="0" wrapText="false" indent="0" shrinkToFit="false"/>
      <protection locked="true" hidden="false"/>
    </xf>
    <xf numFmtId="164" fontId="21" fillId="4" borderId="0" xfId="0" applyFont="true" applyBorder="false" applyAlignment="true" applyProtection="false">
      <alignment horizontal="center" vertical="center" textRotation="0" wrapText="false" indent="0" shrinkToFit="false"/>
      <protection locked="true" hidden="false"/>
    </xf>
    <xf numFmtId="178" fontId="24" fillId="7" borderId="2" xfId="17" applyFont="true" applyBorder="true" applyAlignment="true" applyProtection="false">
      <alignment horizontal="center" vertical="center" textRotation="0" wrapText="false" indent="0" shrinkToFit="false"/>
      <protection locked="true" hidden="false"/>
    </xf>
    <xf numFmtId="182" fontId="13" fillId="13" borderId="2" xfId="17" applyFont="true" applyBorder="true" applyAlignment="true" applyProtection="false">
      <alignment horizontal="general" vertical="center" textRotation="0" wrapText="false" indent="0" shrinkToFit="false"/>
      <protection locked="true" hidden="false"/>
    </xf>
    <xf numFmtId="182" fontId="13" fillId="14" borderId="2" xfId="17" applyFont="true" applyBorder="true" applyAlignment="true" applyProtection="false">
      <alignment horizontal="general" vertical="center" textRotation="0" wrapText="false" indent="0" shrinkToFit="false"/>
      <protection locked="true" hidden="false"/>
    </xf>
    <xf numFmtId="182" fontId="13" fillId="14" borderId="2" xfId="0" applyFont="true" applyBorder="true" applyAlignment="true" applyProtection="false">
      <alignment horizontal="general" vertical="center" textRotation="0" wrapText="false" indent="0" shrinkToFit="false"/>
      <protection locked="true" hidden="false"/>
    </xf>
    <xf numFmtId="168" fontId="13" fillId="14" borderId="2" xfId="0" applyFont="true" applyBorder="true" applyAlignment="true" applyProtection="false">
      <alignment horizontal="center" vertical="center" textRotation="0" wrapText="false" indent="0" shrinkToFit="false"/>
      <protection locked="true" hidden="false"/>
    </xf>
    <xf numFmtId="185" fontId="13" fillId="4" borderId="0" xfId="17" applyFont="true" applyBorder="false" applyAlignment="true" applyProtection="false">
      <alignment horizontal="general" vertical="center" textRotation="0" wrapText="false" indent="0" shrinkToFit="false"/>
      <protection locked="true" hidden="false"/>
    </xf>
    <xf numFmtId="168" fontId="24" fillId="10" borderId="2" xfId="0" applyFont="true" applyBorder="true" applyAlignment="true" applyProtection="false">
      <alignment horizontal="center" vertical="bottom" textRotation="0" wrapText="false" indent="0" shrinkToFit="false"/>
      <protection locked="true" hidden="false"/>
    </xf>
    <xf numFmtId="164" fontId="13" fillId="10" borderId="6" xfId="0" applyFont="true" applyBorder="true" applyAlignment="false" applyProtection="false">
      <alignment horizontal="general" vertical="bottom" textRotation="0" wrapText="false" indent="0" shrinkToFit="false"/>
      <protection locked="true" hidden="false"/>
    </xf>
    <xf numFmtId="164" fontId="13" fillId="10" borderId="7" xfId="0" applyFont="true" applyBorder="true" applyAlignment="false" applyProtection="false">
      <alignment horizontal="general" vertical="bottom" textRotation="0" wrapText="false" indent="0" shrinkToFit="false"/>
      <protection locked="true" hidden="false"/>
    </xf>
    <xf numFmtId="168" fontId="24" fillId="8" borderId="2" xfId="0" applyFont="true" applyBorder="true" applyAlignment="true" applyProtection="false">
      <alignment horizontal="center" vertical="bottom" textRotation="0" wrapText="false" indent="0" shrinkToFit="false"/>
      <protection locked="true" hidden="false"/>
    </xf>
    <xf numFmtId="182" fontId="24" fillId="8" borderId="2" xfId="0" applyFont="true" applyBorder="true" applyAlignment="false" applyProtection="false">
      <alignment horizontal="general" vertical="bottom" textRotation="0" wrapText="false" indent="0" shrinkToFit="false"/>
      <protection locked="true" hidden="false"/>
    </xf>
    <xf numFmtId="185" fontId="13" fillId="4" borderId="0" xfId="0" applyFont="true" applyBorder="false" applyAlignment="false" applyProtection="false">
      <alignment horizontal="general" vertical="bottom" textRotation="0" wrapText="false" indent="0" shrinkToFit="false"/>
      <protection locked="true" hidden="false"/>
    </xf>
    <xf numFmtId="182" fontId="31" fillId="4" borderId="0" xfId="17" applyFont="true" applyBorder="false" applyAlignment="false" applyProtection="false">
      <alignment horizontal="general" vertical="bottom" textRotation="0" wrapText="false" indent="0" shrinkToFit="false"/>
      <protection locked="true" hidden="false"/>
    </xf>
    <xf numFmtId="170" fontId="13" fillId="4" borderId="0" xfId="19" applyFont="true" applyBorder="false" applyAlignment="false" applyProtection="false">
      <alignment horizontal="general" vertical="bottom" textRotation="0" wrapText="false" indent="0" shrinkToFit="false"/>
      <protection locked="true" hidden="false"/>
    </xf>
    <xf numFmtId="164" fontId="32" fillId="5" borderId="0" xfId="0" applyFont="true" applyBorder="false" applyAlignment="true" applyProtection="false">
      <alignment horizontal="left" vertical="center" textRotation="0" wrapText="false" indent="0" shrinkToFit="false"/>
      <protection locked="true" hidden="false"/>
    </xf>
    <xf numFmtId="167" fontId="32" fillId="5" borderId="0" xfId="0" applyFont="true" applyBorder="false" applyAlignment="true" applyProtection="false">
      <alignment horizontal="left" vertical="center" textRotation="0" wrapText="false" indent="0" shrinkToFit="false"/>
      <protection locked="true" hidden="false"/>
    </xf>
    <xf numFmtId="164" fontId="32" fillId="5" borderId="0" xfId="0" applyFont="true" applyBorder="false" applyAlignment="true" applyProtection="false">
      <alignment horizontal="general" vertical="center" textRotation="0" wrapText="false" indent="0" shrinkToFit="false"/>
      <protection locked="true" hidden="false"/>
    </xf>
    <xf numFmtId="169" fontId="32" fillId="5" borderId="0" xfId="17" applyFont="true" applyBorder="false" applyAlignment="true" applyProtection="false">
      <alignment horizontal="general" vertical="center" textRotation="0" wrapText="false" indent="0" shrinkToFit="false"/>
      <protection locked="true" hidden="false"/>
    </xf>
    <xf numFmtId="164" fontId="24" fillId="4" borderId="0" xfId="0" applyFont="true" applyBorder="false" applyAlignment="true" applyProtection="false">
      <alignment horizontal="general" vertical="center" textRotation="0" wrapText="false" indent="0" shrinkToFit="false"/>
      <protection locked="true" hidden="false"/>
    </xf>
    <xf numFmtId="164" fontId="8" fillId="4" borderId="0" xfId="0" applyFont="true" applyBorder="false" applyAlignment="true" applyProtection="false">
      <alignment horizontal="general" vertical="center" textRotation="0" wrapText="true" indent="0" shrinkToFit="false"/>
      <protection locked="true" hidden="false"/>
    </xf>
    <xf numFmtId="164" fontId="21" fillId="5" borderId="2" xfId="0" applyFont="true" applyBorder="true" applyAlignment="true" applyProtection="false">
      <alignment horizontal="center" vertical="center" textRotation="0" wrapText="true" indent="0" shrinkToFit="false"/>
      <protection locked="true" hidden="false"/>
    </xf>
    <xf numFmtId="176" fontId="21" fillId="5" borderId="2" xfId="0" applyFont="true" applyBorder="true" applyAlignment="true" applyProtection="false">
      <alignment horizontal="center" vertical="center" textRotation="0" wrapText="true" indent="0" shrinkToFit="false"/>
      <protection locked="true" hidden="false"/>
    </xf>
    <xf numFmtId="182" fontId="21" fillId="5" borderId="2" xfId="17" applyFont="true" applyBorder="true" applyAlignment="true" applyProtection="false">
      <alignment horizontal="center" vertical="center" textRotation="0" wrapText="true" indent="0" shrinkToFit="false"/>
      <protection locked="true" hidden="false"/>
    </xf>
    <xf numFmtId="164" fontId="13" fillId="7" borderId="2" xfId="0" applyFont="true" applyBorder="true" applyAlignment="true" applyProtection="false">
      <alignment horizontal="left" vertical="center" textRotation="0" wrapText="true" indent="0" shrinkToFit="false"/>
      <protection locked="true" hidden="false"/>
    </xf>
    <xf numFmtId="180" fontId="13" fillId="7" borderId="2" xfId="0" applyFont="true" applyBorder="true" applyAlignment="true" applyProtection="false">
      <alignment horizontal="center" vertical="center" textRotation="0" wrapText="false" indent="0" shrinkToFit="false"/>
      <protection locked="true" hidden="false"/>
    </xf>
    <xf numFmtId="182" fontId="13" fillId="7" borderId="2" xfId="17" applyFont="true" applyBorder="true" applyAlignment="true" applyProtection="false">
      <alignment horizontal="center" vertical="center" textRotation="0" wrapText="false" indent="0" shrinkToFit="false"/>
      <protection locked="true" hidden="false"/>
    </xf>
    <xf numFmtId="182" fontId="13" fillId="9" borderId="2" xfId="17" applyFont="true" applyBorder="true" applyAlignment="true" applyProtection="false">
      <alignment horizontal="center" vertical="center" textRotation="0" wrapText="false" indent="0" shrinkToFit="false"/>
      <protection locked="true" hidden="false"/>
    </xf>
    <xf numFmtId="182" fontId="24" fillId="8" borderId="2" xfId="0" applyFont="true" applyBorder="tru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8" fillId="4" borderId="0" xfId="0" applyFont="true" applyBorder="false" applyAlignment="true" applyProtection="false">
      <alignment horizontal="center" vertical="center" textRotation="0" wrapText="false" indent="0" shrinkToFit="false"/>
      <protection locked="true" hidden="false"/>
    </xf>
    <xf numFmtId="164" fontId="21" fillId="5" borderId="2" xfId="0" applyFont="true" applyBorder="true" applyAlignment="true" applyProtection="false">
      <alignment horizontal="left" vertical="center" textRotation="0" wrapText="true" indent="0" shrinkToFit="false"/>
      <protection locked="true" hidden="false"/>
    </xf>
    <xf numFmtId="182" fontId="8" fillId="4" borderId="0" xfId="17" applyFont="true" applyBorder="false" applyAlignment="true" applyProtection="false">
      <alignment horizontal="general" vertical="center" textRotation="0" wrapText="false" indent="0" shrinkToFit="false"/>
      <protection locked="true" hidden="false"/>
    </xf>
    <xf numFmtId="164" fontId="32" fillId="4" borderId="0" xfId="0" applyFont="true" applyBorder="false" applyAlignment="true" applyProtection="false">
      <alignment horizontal="center" vertical="center" textRotation="0" wrapText="true" indent="0" shrinkToFit="false"/>
      <protection locked="true" hidden="false"/>
    </xf>
    <xf numFmtId="182" fontId="32" fillId="4" borderId="0" xfId="17" applyFont="true" applyBorder="false" applyAlignment="true" applyProtection="false">
      <alignment horizontal="center" vertical="center" textRotation="0" wrapText="true" indent="0" shrinkToFit="false"/>
      <protection locked="true" hidden="false"/>
    </xf>
    <xf numFmtId="164" fontId="8" fillId="4" borderId="0" xfId="0" applyFont="true" applyBorder="false" applyAlignment="true" applyProtection="false">
      <alignment horizontal="left" vertical="center" textRotation="0" wrapText="true" indent="0" shrinkToFit="false"/>
      <protection locked="true" hidden="false"/>
    </xf>
    <xf numFmtId="182" fontId="8" fillId="4" borderId="0" xfId="17" applyFont="true" applyBorder="false" applyAlignment="true" applyProtection="false">
      <alignment horizontal="general" vertical="center" textRotation="0" wrapText="true" indent="0" shrinkToFit="false"/>
      <protection locked="true" hidden="false"/>
    </xf>
    <xf numFmtId="164" fontId="17" fillId="4" borderId="0" xfId="0" applyFont="true" applyBorder="false" applyAlignment="true" applyProtection="false">
      <alignment horizontal="center" vertical="center" textRotation="0" wrapText="false" indent="0" shrinkToFit="false"/>
      <protection locked="true" hidden="false"/>
    </xf>
    <xf numFmtId="182" fontId="17" fillId="4" borderId="0" xfId="0" applyFont="true" applyBorder="false" applyAlignment="true" applyProtection="false">
      <alignment horizontal="center" vertical="center" textRotation="0" wrapText="false" indent="0" shrinkToFit="false"/>
      <protection locked="true" hidden="false"/>
    </xf>
    <xf numFmtId="164" fontId="33" fillId="5" borderId="0" xfId="0" applyFont="true" applyBorder="false" applyAlignment="true" applyProtection="false">
      <alignment horizontal="general" vertical="center" textRotation="0" wrapText="false" indent="0" shrinkToFit="false"/>
      <protection locked="true" hidden="false"/>
    </xf>
    <xf numFmtId="164" fontId="20" fillId="5" borderId="0" xfId="0" applyFont="true" applyBorder="false" applyAlignment="true" applyProtection="false">
      <alignment horizontal="right" vertical="center" textRotation="0" wrapText="false" indent="0" shrinkToFit="false"/>
      <protection locked="true" hidden="false"/>
    </xf>
    <xf numFmtId="167" fontId="21" fillId="5" borderId="0" xfId="0" applyFont="true" applyBorder="false" applyAlignment="true" applyProtection="false">
      <alignment horizontal="right" vertical="center" textRotation="0" wrapText="false" indent="0" shrinkToFit="false"/>
      <protection locked="true" hidden="false"/>
    </xf>
    <xf numFmtId="164" fontId="12" fillId="9" borderId="9" xfId="0" applyFont="true" applyBorder="true" applyAlignment="true" applyProtection="false">
      <alignment horizontal="left" vertical="center" textRotation="0" wrapText="false" indent="6" shrinkToFit="false"/>
      <protection locked="true" hidden="false"/>
    </xf>
    <xf numFmtId="164" fontId="11" fillId="9" borderId="10" xfId="0" applyFont="true" applyBorder="true" applyAlignment="true" applyProtection="false">
      <alignment horizontal="general" vertical="center" textRotation="0" wrapText="false" indent="0" shrinkToFit="false"/>
      <protection locked="true" hidden="false"/>
    </xf>
    <xf numFmtId="164" fontId="13" fillId="9" borderId="9" xfId="0" applyFont="true" applyBorder="true" applyAlignment="true" applyProtection="false">
      <alignment horizontal="general" vertical="center" textRotation="0" wrapText="false" indent="0" shrinkToFit="false"/>
      <protection locked="true" hidden="false"/>
    </xf>
    <xf numFmtId="164" fontId="12" fillId="9" borderId="11" xfId="0" applyFont="true" applyBorder="true" applyAlignment="true" applyProtection="false">
      <alignment horizontal="left" vertical="center" textRotation="0" wrapText="false" indent="0" shrinkToFit="false"/>
      <protection locked="true" hidden="false"/>
    </xf>
    <xf numFmtId="167" fontId="11" fillId="9" borderId="10" xfId="0" applyFont="true" applyBorder="true" applyAlignment="true" applyProtection="false">
      <alignment horizontal="left" vertical="center" textRotation="0" wrapText="false" indent="0" shrinkToFit="false"/>
      <protection locked="true" hidden="false"/>
    </xf>
    <xf numFmtId="164" fontId="12" fillId="9" borderId="12" xfId="0" applyFont="true" applyBorder="true" applyAlignment="true" applyProtection="false">
      <alignment horizontal="left" vertical="center" textRotation="0" wrapText="false" indent="6" shrinkToFit="false"/>
      <protection locked="true" hidden="false"/>
    </xf>
    <xf numFmtId="164" fontId="11" fillId="9" borderId="13" xfId="0" applyFont="true" applyBorder="true" applyAlignment="true" applyProtection="false">
      <alignment horizontal="general" vertical="center" textRotation="0" wrapText="false" indent="0" shrinkToFit="false"/>
      <protection locked="true" hidden="false"/>
    </xf>
    <xf numFmtId="164" fontId="13" fillId="9" borderId="12" xfId="0" applyFont="true" applyBorder="true" applyAlignment="true" applyProtection="false">
      <alignment horizontal="general" vertical="center" textRotation="0" wrapText="false" indent="0" shrinkToFit="false"/>
      <protection locked="true" hidden="false"/>
    </xf>
    <xf numFmtId="164" fontId="12" fillId="9" borderId="0" xfId="0" applyFont="true" applyBorder="false" applyAlignment="true" applyProtection="false">
      <alignment horizontal="left" vertical="center" textRotation="0" wrapText="false" indent="0" shrinkToFit="false"/>
      <protection locked="true" hidden="false"/>
    </xf>
    <xf numFmtId="167" fontId="11" fillId="9" borderId="13" xfId="0" applyFont="true" applyBorder="true" applyAlignment="true" applyProtection="false">
      <alignment horizontal="left" vertical="center" textRotation="0" wrapText="false" indent="0" shrinkToFit="false"/>
      <protection locked="true" hidden="false"/>
    </xf>
    <xf numFmtId="164" fontId="12" fillId="9" borderId="14" xfId="0" applyFont="true" applyBorder="true" applyAlignment="true" applyProtection="false">
      <alignment horizontal="left" vertical="center" textRotation="0" wrapText="false" indent="6" shrinkToFit="false"/>
      <protection locked="true" hidden="false"/>
    </xf>
    <xf numFmtId="164" fontId="11" fillId="9" borderId="15" xfId="0" applyFont="true" applyBorder="true" applyAlignment="true" applyProtection="false">
      <alignment horizontal="general" vertical="center" textRotation="0" wrapText="false" indent="0" shrinkToFit="false"/>
      <protection locked="true" hidden="false"/>
    </xf>
    <xf numFmtId="164" fontId="13" fillId="9" borderId="14" xfId="0" applyFont="true" applyBorder="true" applyAlignment="true" applyProtection="false">
      <alignment horizontal="general" vertical="center" textRotation="0" wrapText="false" indent="0" shrinkToFit="false"/>
      <protection locked="true" hidden="false"/>
    </xf>
    <xf numFmtId="164" fontId="12" fillId="9" borderId="16" xfId="0" applyFont="true" applyBorder="true" applyAlignment="true" applyProtection="false">
      <alignment horizontal="left" vertical="center" textRotation="0" wrapText="false" indent="0" shrinkToFit="false"/>
      <protection locked="true" hidden="false"/>
    </xf>
    <xf numFmtId="180" fontId="11" fillId="9" borderId="15" xfId="0" applyFont="true" applyBorder="true" applyAlignment="true" applyProtection="false">
      <alignment horizontal="left" vertical="center" textRotation="0" wrapText="false" indent="0" shrinkToFit="false"/>
      <protection locked="true" hidden="false"/>
    </xf>
    <xf numFmtId="164" fontId="12" fillId="8" borderId="9" xfId="0" applyFont="true" applyBorder="true" applyAlignment="true" applyProtection="false">
      <alignment horizontal="left" vertical="center" textRotation="0" wrapText="false" indent="6" shrinkToFit="false"/>
      <protection locked="true" hidden="false"/>
    </xf>
    <xf numFmtId="170" fontId="11" fillId="8" borderId="10" xfId="19" applyFont="true" applyBorder="true" applyAlignment="true" applyProtection="false">
      <alignment horizontal="left" vertical="center" textRotation="0" wrapText="false" indent="0" shrinkToFit="false"/>
      <protection locked="true" hidden="false"/>
    </xf>
    <xf numFmtId="164" fontId="13" fillId="8" borderId="9" xfId="0" applyFont="true" applyBorder="true" applyAlignment="true" applyProtection="false">
      <alignment horizontal="general" vertical="center" textRotation="0" wrapText="false" indent="0" shrinkToFit="false"/>
      <protection locked="true" hidden="false"/>
    </xf>
    <xf numFmtId="164" fontId="12" fillId="8" borderId="11" xfId="0" applyFont="true" applyBorder="true" applyAlignment="true" applyProtection="false">
      <alignment horizontal="left" vertical="center" textRotation="0" wrapText="false" indent="0" shrinkToFit="false"/>
      <protection locked="true" hidden="false"/>
    </xf>
    <xf numFmtId="170" fontId="11" fillId="8" borderId="10" xfId="0" applyFont="true" applyBorder="true" applyAlignment="true" applyProtection="false">
      <alignment horizontal="left" vertical="center" textRotation="0" wrapText="false" indent="0" shrinkToFit="false"/>
      <protection locked="true" hidden="false"/>
    </xf>
    <xf numFmtId="164" fontId="12" fillId="8" borderId="12" xfId="0" applyFont="true" applyBorder="true" applyAlignment="true" applyProtection="false">
      <alignment horizontal="left" vertical="center" textRotation="0" wrapText="false" indent="6" shrinkToFit="false"/>
      <protection locked="true" hidden="false"/>
    </xf>
    <xf numFmtId="170" fontId="11" fillId="8" borderId="13" xfId="19" applyFont="true" applyBorder="true" applyAlignment="true" applyProtection="false">
      <alignment horizontal="left" vertical="center" textRotation="0" wrapText="false" indent="0" shrinkToFit="false"/>
      <protection locked="true" hidden="false"/>
    </xf>
    <xf numFmtId="164" fontId="13" fillId="8" borderId="12" xfId="0" applyFont="true" applyBorder="true" applyAlignment="true" applyProtection="false">
      <alignment horizontal="general" vertical="center" textRotation="0" wrapText="false" indent="0" shrinkToFit="false"/>
      <protection locked="true" hidden="false"/>
    </xf>
    <xf numFmtId="164" fontId="12" fillId="8" borderId="0" xfId="0" applyFont="true" applyBorder="false" applyAlignment="true" applyProtection="false">
      <alignment horizontal="left" vertical="center" textRotation="0" wrapText="false" indent="0" shrinkToFit="false"/>
      <protection locked="true" hidden="false"/>
    </xf>
    <xf numFmtId="170" fontId="11" fillId="8" borderId="13" xfId="0" applyFont="true" applyBorder="true" applyAlignment="true" applyProtection="false">
      <alignment horizontal="left" vertical="center" textRotation="0" wrapText="false" indent="0" shrinkToFit="false"/>
      <protection locked="true" hidden="false"/>
    </xf>
    <xf numFmtId="164" fontId="12" fillId="8" borderId="14" xfId="0" applyFont="true" applyBorder="true" applyAlignment="true" applyProtection="false">
      <alignment horizontal="left" vertical="center" textRotation="0" wrapText="false" indent="6" shrinkToFit="false"/>
      <protection locked="true" hidden="false"/>
    </xf>
    <xf numFmtId="170" fontId="11" fillId="8" borderId="15" xfId="19" applyFont="true" applyBorder="true" applyAlignment="true" applyProtection="false">
      <alignment horizontal="left" vertical="center" textRotation="0" wrapText="false" indent="0" shrinkToFit="false"/>
      <protection locked="true" hidden="false"/>
    </xf>
    <xf numFmtId="164" fontId="13" fillId="8" borderId="14" xfId="0" applyFont="true" applyBorder="true" applyAlignment="true" applyProtection="false">
      <alignment horizontal="general" vertical="center" textRotation="0" wrapText="false" indent="0" shrinkToFit="false"/>
      <protection locked="true" hidden="false"/>
    </xf>
    <xf numFmtId="164" fontId="12" fillId="8" borderId="16" xfId="0" applyFont="true" applyBorder="true" applyAlignment="true" applyProtection="false">
      <alignment horizontal="left" vertical="center" textRotation="0" wrapText="false" indent="0" shrinkToFit="false"/>
      <protection locked="true" hidden="false"/>
    </xf>
    <xf numFmtId="164" fontId="34" fillId="4" borderId="0" xfId="0" applyFont="true" applyBorder="false" applyAlignment="true" applyProtection="false">
      <alignment horizontal="center" vertical="bottom" textRotation="0" wrapText="false" indent="0" shrinkToFit="false"/>
      <protection locked="true" hidden="false"/>
    </xf>
    <xf numFmtId="164" fontId="12" fillId="8" borderId="9" xfId="0" applyFont="true" applyBorder="true" applyAlignment="true" applyProtection="false">
      <alignment horizontal="left" vertical="center" textRotation="0" wrapText="false" indent="4" shrinkToFit="false"/>
      <protection locked="true" hidden="false"/>
    </xf>
    <xf numFmtId="181" fontId="11" fillId="8" borderId="11" xfId="19" applyFont="true" applyBorder="true" applyAlignment="true" applyProtection="false">
      <alignment horizontal="left" vertical="center" textRotation="0" wrapText="false" indent="0" shrinkToFit="false"/>
      <protection locked="true" hidden="false"/>
    </xf>
    <xf numFmtId="164" fontId="12" fillId="8" borderId="9" xfId="0" applyFont="true" applyBorder="true" applyAlignment="true" applyProtection="false">
      <alignment horizontal="right" vertical="center" textRotation="0" wrapText="false" indent="0" shrinkToFit="false"/>
      <protection locked="true" hidden="false"/>
    </xf>
    <xf numFmtId="180" fontId="11" fillId="8" borderId="11" xfId="0" applyFont="true" applyBorder="true" applyAlignment="true" applyProtection="false">
      <alignment horizontal="center" vertical="center" textRotation="0" wrapText="false" indent="0" shrinkToFit="false"/>
      <protection locked="true" hidden="false"/>
    </xf>
    <xf numFmtId="180" fontId="11" fillId="8" borderId="10" xfId="0" applyFont="true" applyBorder="true" applyAlignment="true" applyProtection="false">
      <alignment horizontal="center" vertical="center" textRotation="0" wrapText="false" indent="0" shrinkToFit="false"/>
      <protection locked="true" hidden="false"/>
    </xf>
    <xf numFmtId="173" fontId="35" fillId="9" borderId="3" xfId="0" applyFont="true" applyBorder="true" applyAlignment="true" applyProtection="false">
      <alignment horizontal="right" vertical="bottom" textRotation="0" wrapText="false" indent="2" shrinkToFit="false"/>
      <protection locked="true" hidden="false"/>
    </xf>
    <xf numFmtId="164" fontId="12" fillId="8" borderId="12" xfId="0" applyFont="true" applyBorder="true" applyAlignment="true" applyProtection="false">
      <alignment horizontal="left" vertical="center" textRotation="0" wrapText="false" indent="4" shrinkToFit="false"/>
      <protection locked="true" hidden="false"/>
    </xf>
    <xf numFmtId="181" fontId="11" fillId="8" borderId="0" xfId="17" applyFont="true" applyBorder="false" applyAlignment="true" applyProtection="false">
      <alignment horizontal="left" vertical="center" textRotation="0" wrapText="false" indent="0" shrinkToFit="false"/>
      <protection locked="true" hidden="false"/>
    </xf>
    <xf numFmtId="164" fontId="12" fillId="8" borderId="12" xfId="0" applyFont="true" applyBorder="true" applyAlignment="true" applyProtection="false">
      <alignment horizontal="right" vertical="center" textRotation="0" wrapText="false" indent="0" shrinkToFit="false"/>
      <protection locked="true" hidden="false"/>
    </xf>
    <xf numFmtId="180" fontId="11" fillId="8" borderId="16" xfId="0" applyFont="true" applyBorder="true" applyAlignment="true" applyProtection="false">
      <alignment horizontal="center" vertical="center" textRotation="0" wrapText="false" indent="0" shrinkToFit="false"/>
      <protection locked="true" hidden="false"/>
    </xf>
    <xf numFmtId="180" fontId="11" fillId="8" borderId="15" xfId="0" applyFont="true" applyBorder="true" applyAlignment="true" applyProtection="false">
      <alignment horizontal="center" vertical="center" textRotation="0" wrapText="false" indent="0" shrinkToFit="false"/>
      <protection locked="true" hidden="false"/>
    </xf>
    <xf numFmtId="173" fontId="35" fillId="9" borderId="17" xfId="0" applyFont="true" applyBorder="true" applyAlignment="true" applyProtection="false">
      <alignment horizontal="right" vertical="bottom" textRotation="0" wrapText="false" indent="2" shrinkToFit="false"/>
      <protection locked="true" hidden="false"/>
    </xf>
    <xf numFmtId="164" fontId="12" fillId="8" borderId="14" xfId="0" applyFont="true" applyBorder="true" applyAlignment="true" applyProtection="false">
      <alignment horizontal="left" vertical="center" textRotation="0" wrapText="false" indent="4" shrinkToFit="false"/>
      <protection locked="true" hidden="false"/>
    </xf>
    <xf numFmtId="181" fontId="11" fillId="8" borderId="16" xfId="19" applyFont="true" applyBorder="true" applyAlignment="true" applyProtection="false">
      <alignment horizontal="left" vertical="center" textRotation="0" wrapText="false" indent="0" shrinkToFit="false"/>
      <protection locked="true" hidden="false"/>
    </xf>
    <xf numFmtId="164" fontId="12" fillId="8" borderId="14" xfId="0" applyFont="true" applyBorder="true" applyAlignment="true" applyProtection="false">
      <alignment horizontal="right" vertical="center" textRotation="0" wrapText="false" indent="0" shrinkToFit="false"/>
      <protection locked="true" hidden="false"/>
    </xf>
    <xf numFmtId="180" fontId="12" fillId="8" borderId="16" xfId="0" applyFont="true" applyBorder="true" applyAlignment="true" applyProtection="false">
      <alignment horizontal="center" vertical="center" textRotation="0" wrapText="false" indent="0" shrinkToFit="false"/>
      <protection locked="true" hidden="false"/>
    </xf>
    <xf numFmtId="180" fontId="12" fillId="8" borderId="15" xfId="19" applyFont="true" applyBorder="true" applyAlignment="true" applyProtection="false">
      <alignment horizontal="center" vertical="center" textRotation="0" wrapText="false" indent="0" shrinkToFit="false"/>
      <protection locked="true" hidden="false"/>
    </xf>
    <xf numFmtId="173" fontId="36" fillId="9" borderId="17" xfId="0" applyFont="true" applyBorder="true" applyAlignment="true" applyProtection="false">
      <alignment horizontal="right" vertical="bottom" textRotation="0" wrapText="false" indent="2" shrinkToFit="false"/>
      <protection locked="true" hidden="false"/>
    </xf>
    <xf numFmtId="164" fontId="21" fillId="5" borderId="2" xfId="0" applyFont="true" applyBorder="true" applyAlignment="true" applyProtection="false">
      <alignment horizontal="center" vertical="center" textRotation="0" wrapText="false" indent="0" shrinkToFit="false"/>
      <protection locked="true" hidden="false"/>
    </xf>
    <xf numFmtId="164" fontId="13" fillId="9" borderId="2" xfId="0" applyFont="true" applyBorder="true" applyAlignment="true" applyProtection="false">
      <alignment horizontal="left" vertical="center" textRotation="0" wrapText="false" indent="0" shrinkToFit="false"/>
      <protection locked="true" hidden="false"/>
    </xf>
    <xf numFmtId="170" fontId="13" fillId="9" borderId="2" xfId="19" applyFont="true" applyBorder="true" applyAlignment="true" applyProtection="false">
      <alignment horizontal="right" vertical="center" textRotation="0" wrapText="false" indent="4" shrinkToFit="false"/>
      <protection locked="true" hidden="false"/>
    </xf>
    <xf numFmtId="182" fontId="13" fillId="4" borderId="0" xfId="17" applyFont="true" applyBorder="false" applyAlignment="false" applyProtection="false">
      <alignment horizontal="general" vertical="bottom" textRotation="0" wrapText="false" indent="0" shrinkToFit="false"/>
      <protection locked="true" hidden="false"/>
    </xf>
    <xf numFmtId="164" fontId="13" fillId="9" borderId="2" xfId="0" applyFont="true" applyBorder="true" applyAlignment="true" applyProtection="false">
      <alignment horizontal="left" vertical="center" textRotation="0" wrapText="true" indent="0" shrinkToFit="false"/>
      <protection locked="true" hidden="false"/>
    </xf>
    <xf numFmtId="164" fontId="37" fillId="15" borderId="2" xfId="0" applyFont="true" applyBorder="true" applyAlignment="true" applyProtection="false">
      <alignment horizontal="general" vertical="center" textRotation="0" wrapText="false" indent="0" shrinkToFit="false"/>
      <protection locked="true" hidden="false"/>
    </xf>
    <xf numFmtId="170" fontId="37" fillId="15" borderId="2" xfId="19" applyFont="true" applyBorder="true" applyAlignment="true" applyProtection="false">
      <alignment horizontal="right" vertical="center" textRotation="0" wrapText="false" indent="4" shrinkToFit="false"/>
      <protection locked="true" hidden="false"/>
    </xf>
    <xf numFmtId="182" fontId="37" fillId="15" borderId="2" xfId="0" applyFont="true" applyBorder="true" applyAlignment="true" applyProtection="false">
      <alignment horizontal="general" vertical="center" textRotation="0" wrapText="false" indent="0" shrinkToFit="false"/>
      <protection locked="true" hidden="false"/>
    </xf>
    <xf numFmtId="182" fontId="37" fillId="15" borderId="2" xfId="17" applyFont="true" applyBorder="true" applyAlignment="true" applyProtection="false">
      <alignment horizontal="general" vertical="center" textRotation="0" wrapText="false" indent="0" shrinkToFit="false"/>
      <protection locked="true" hidden="false"/>
    </xf>
    <xf numFmtId="182" fontId="13" fillId="4" borderId="0" xfId="0" applyFont="true" applyBorder="false" applyAlignment="false" applyProtection="false">
      <alignment horizontal="general" vertical="bottom" textRotation="0" wrapText="false" indent="0" shrinkToFit="false"/>
      <protection locked="true" hidden="false"/>
    </xf>
    <xf numFmtId="164" fontId="13" fillId="9" borderId="2" xfId="0" applyFont="true" applyBorder="true" applyAlignment="true" applyProtection="false">
      <alignment horizontal="general" vertical="center" textRotation="0" wrapText="false" indent="0" shrinkToFit="false"/>
      <protection locked="true" hidden="false"/>
    </xf>
    <xf numFmtId="170" fontId="21" fillId="5" borderId="2" xfId="19" applyFont="true" applyBorder="true" applyAlignment="true" applyProtection="false">
      <alignment horizontal="right" vertical="center" textRotation="0" wrapText="false" indent="4" shrinkToFit="false"/>
      <protection locked="true" hidden="false"/>
    </xf>
    <xf numFmtId="182" fontId="21" fillId="5" borderId="2" xfId="0" applyFont="true" applyBorder="true" applyAlignment="true" applyProtection="false">
      <alignment horizontal="general" vertical="center" textRotation="0" wrapText="false" indent="0" shrinkToFit="false"/>
      <protection locked="true" hidden="false"/>
    </xf>
    <xf numFmtId="182" fontId="21" fillId="5" borderId="2" xfId="17" applyFont="true" applyBorder="true" applyAlignment="true" applyProtection="false">
      <alignment horizontal="general" vertical="center" textRotation="0" wrapText="false" indent="0" shrinkToFit="false"/>
      <protection locked="true" hidden="false"/>
    </xf>
    <xf numFmtId="171" fontId="21" fillId="5" borderId="2" xfId="19" applyFont="true" applyBorder="true" applyAlignment="true" applyProtection="false">
      <alignment horizontal="right" vertical="center" textRotation="0" wrapText="false" indent="4" shrinkToFit="false"/>
      <protection locked="true" hidden="false"/>
    </xf>
    <xf numFmtId="164" fontId="13" fillId="16" borderId="2" xfId="0" applyFont="true" applyBorder="true" applyAlignment="false" applyProtection="false">
      <alignment horizontal="general" vertical="bottom" textRotation="0" wrapText="false" indent="0" shrinkToFit="false"/>
      <protection locked="true" hidden="false"/>
    </xf>
    <xf numFmtId="182" fontId="24" fillId="17" borderId="2" xfId="0" applyFont="true" applyBorder="true" applyAlignment="false" applyProtection="false">
      <alignment horizontal="general" vertical="bottom" textRotation="0" wrapText="false" indent="0" shrinkToFit="false"/>
      <protection locked="true" hidden="false"/>
    </xf>
    <xf numFmtId="170" fontId="13" fillId="9" borderId="2" xfId="19" applyFont="true" applyBorder="true" applyAlignment="false" applyProtection="false">
      <alignment horizontal="general" vertical="bottom" textRotation="0" wrapText="false" indent="0" shrinkToFit="false"/>
      <protection locked="true" hidden="false"/>
    </xf>
    <xf numFmtId="182" fontId="13" fillId="6" borderId="2" xfId="0" applyFont="true" applyBorder="true" applyAlignment="false" applyProtection="false">
      <alignment horizontal="general" vertical="bottom" textRotation="0" wrapText="false" indent="0" shrinkToFit="false"/>
      <protection locked="true" hidden="false"/>
    </xf>
    <xf numFmtId="170" fontId="13" fillId="9" borderId="2" xfId="0" applyFont="true" applyBorder="true" applyAlignment="false" applyProtection="false">
      <alignment horizontal="general" vertical="bottom" textRotation="0" wrapText="false" indent="0" shrinkToFit="false"/>
      <protection locked="true" hidden="false"/>
    </xf>
    <xf numFmtId="164" fontId="7" fillId="4" borderId="0" xfId="27" applyFont="true" applyBorder="false" applyAlignment="true" applyProtection="false">
      <alignment horizontal="general" vertical="center" textRotation="0" wrapText="false" indent="0" shrinkToFit="false"/>
      <protection locked="true" hidden="false"/>
    </xf>
    <xf numFmtId="172" fontId="38" fillId="5" borderId="18" xfId="26" applyFont="true" applyBorder="true" applyAlignment="true" applyProtection="false">
      <alignment horizontal="general" vertical="center" textRotation="0" wrapText="false" indent="0" shrinkToFit="false"/>
      <protection locked="true" hidden="false"/>
    </xf>
    <xf numFmtId="164" fontId="39" fillId="5" borderId="0" xfId="27" applyFont="true" applyBorder="true" applyAlignment="true" applyProtection="false">
      <alignment horizontal="right" vertical="center" textRotation="0" wrapText="true" indent="0" shrinkToFit="false"/>
      <protection locked="true" hidden="false"/>
    </xf>
    <xf numFmtId="164" fontId="40" fillId="5" borderId="0" xfId="20" applyFont="true" applyBorder="true" applyAlignment="true" applyProtection="false">
      <alignment horizontal="center" vertical="center" textRotation="0" wrapText="false" indent="0" shrinkToFit="false"/>
      <protection locked="true" hidden="false"/>
    </xf>
    <xf numFmtId="172" fontId="6" fillId="4" borderId="19" xfId="26" applyFont="true" applyBorder="true" applyAlignment="true" applyProtection="false">
      <alignment horizontal="general" vertical="center" textRotation="0" wrapText="false" indent="0" shrinkToFit="false"/>
      <protection locked="true" hidden="false"/>
    </xf>
    <xf numFmtId="172" fontId="42" fillId="4" borderId="0" xfId="26" applyFont="true" applyBorder="false" applyAlignment="true" applyProtection="false">
      <alignment horizontal="general" vertical="center" textRotation="0" wrapText="false" indent="0" shrinkToFit="false"/>
      <protection locked="true" hidden="false"/>
    </xf>
    <xf numFmtId="172" fontId="6" fillId="4" borderId="0" xfId="26" applyFont="true" applyBorder="false" applyAlignment="true" applyProtection="false">
      <alignment horizontal="general" vertical="center" textRotation="0" wrapText="false" indent="0" shrinkToFit="false"/>
      <protection locked="true" hidden="false"/>
    </xf>
    <xf numFmtId="172" fontId="6" fillId="4" borderId="0" xfId="26" applyFont="true" applyBorder="true" applyAlignment="true" applyProtection="false">
      <alignment horizontal="left" vertical="center" textRotation="0" wrapText="false" indent="4" shrinkToFit="false"/>
      <protection locked="true" hidden="false"/>
    </xf>
    <xf numFmtId="164" fontId="43" fillId="18" borderId="0" xfId="0" applyFont="true" applyBorder="false" applyAlignment="true" applyProtection="false">
      <alignment horizontal="left" vertical="center" textRotation="0" wrapText="false" indent="0" shrinkToFit="false"/>
      <protection locked="true" hidden="false"/>
    </xf>
    <xf numFmtId="172" fontId="44" fillId="4" borderId="0" xfId="26" applyFont="true" applyBorder="false" applyAlignment="true" applyProtection="false">
      <alignment horizontal="general" vertical="center" textRotation="0" wrapText="false" indent="0" shrinkToFit="false"/>
      <protection locked="true" hidden="false"/>
    </xf>
    <xf numFmtId="164" fontId="43" fillId="0" borderId="0" xfId="0" applyFont="true" applyBorder="false" applyAlignment="true" applyProtection="false">
      <alignment horizontal="left" vertical="center" textRotation="0" wrapText="false" indent="0" shrinkToFit="false"/>
      <protection locked="true" hidden="false"/>
    </xf>
    <xf numFmtId="167" fontId="44" fillId="7" borderId="4" xfId="26" applyFont="true" applyBorder="true" applyAlignment="true" applyProtection="true">
      <alignment horizontal="right" vertical="center" textRotation="0" wrapText="false" indent="2" shrinkToFit="false"/>
      <protection locked="false" hidden="false"/>
    </xf>
    <xf numFmtId="164" fontId="43" fillId="4" borderId="0" xfId="0" applyFont="true" applyBorder="false" applyAlignment="true" applyProtection="false">
      <alignment horizontal="left" vertical="center" textRotation="0" wrapText="false" indent="0" shrinkToFit="false"/>
      <protection locked="true" hidden="false"/>
    </xf>
    <xf numFmtId="172" fontId="6" fillId="4" borderId="20" xfId="26" applyFont="true" applyBorder="true" applyAlignment="true" applyProtection="false">
      <alignment horizontal="left" vertical="center" textRotation="0" wrapText="false" indent="0" shrinkToFit="false"/>
      <protection locked="true" hidden="false"/>
    </xf>
    <xf numFmtId="186" fontId="44" fillId="7" borderId="4" xfId="26" applyFont="true" applyBorder="true" applyAlignment="true" applyProtection="true">
      <alignment horizontal="right" vertical="center" textRotation="0" wrapText="false" indent="2" shrinkToFit="false"/>
      <protection locked="false" hidden="false"/>
    </xf>
    <xf numFmtId="167" fontId="6" fillId="7" borderId="4" xfId="26" applyFont="true" applyBorder="true" applyAlignment="true" applyProtection="true">
      <alignment horizontal="center" vertical="center" textRotation="0" wrapText="false" indent="0" shrinkToFit="false"/>
      <protection locked="false" hidden="false"/>
    </xf>
    <xf numFmtId="172" fontId="44" fillId="8" borderId="0" xfId="26" applyFont="true" applyBorder="false" applyAlignment="true" applyProtection="false">
      <alignment horizontal="general" vertical="center" textRotation="0" wrapText="false" indent="0" shrinkToFit="false"/>
      <protection locked="true" hidden="false"/>
    </xf>
    <xf numFmtId="186" fontId="44" fillId="7" borderId="4" xfId="26" applyFont="true" applyBorder="true" applyAlignment="true" applyProtection="true">
      <alignment horizontal="left" vertical="center" textRotation="0" wrapText="false" indent="1" shrinkToFit="false"/>
      <protection locked="false" hidden="false"/>
    </xf>
    <xf numFmtId="186" fontId="44" fillId="4" borderId="0" xfId="26" applyFont="true" applyBorder="false" applyAlignment="true" applyProtection="true">
      <alignment horizontal="general" vertical="center" textRotation="0" wrapText="false" indent="0" shrinkToFit="false"/>
      <protection locked="false" hidden="false"/>
    </xf>
    <xf numFmtId="164" fontId="45" fillId="5" borderId="0" xfId="27" applyFont="true" applyBorder="true" applyAlignment="true" applyProtection="false">
      <alignment horizontal="center" vertical="center" textRotation="180" wrapText="false" indent="0" shrinkToFit="false"/>
      <protection locked="true" hidden="false"/>
    </xf>
    <xf numFmtId="164" fontId="6" fillId="7" borderId="4" xfId="26" applyFont="true" applyBorder="true" applyAlignment="true" applyProtection="true">
      <alignment horizontal="left" vertical="center" textRotation="0" wrapText="false" indent="1" shrinkToFit="false"/>
      <protection locked="false" hidden="false"/>
    </xf>
    <xf numFmtId="186" fontId="6" fillId="4" borderId="0" xfId="26" applyFont="true" applyBorder="false" applyAlignment="true" applyProtection="true">
      <alignment horizontal="general" vertical="center" textRotation="0" wrapText="false" indent="0" shrinkToFit="false"/>
      <protection locked="false" hidden="false"/>
    </xf>
    <xf numFmtId="186" fontId="6" fillId="7" borderId="4" xfId="26" applyFont="true" applyBorder="true" applyAlignment="true" applyProtection="true">
      <alignment horizontal="left" vertical="center" textRotation="0" wrapText="false" indent="1" shrinkToFit="false"/>
      <protection locked="false" hidden="false"/>
    </xf>
    <xf numFmtId="164" fontId="6" fillId="4" borderId="0" xfId="26" applyFont="true" applyBorder="false" applyAlignment="true" applyProtection="false">
      <alignment horizontal="left" vertical="center" textRotation="0" wrapText="false" indent="0" shrinkToFit="false"/>
      <protection locked="true" hidden="false"/>
    </xf>
    <xf numFmtId="164" fontId="6" fillId="4" borderId="0" xfId="26" applyFont="true" applyBorder="false" applyAlignment="true" applyProtection="false">
      <alignment horizontal="general" vertical="center" textRotation="0" wrapText="false" indent="0" shrinkToFit="false"/>
      <protection locked="true" hidden="false"/>
    </xf>
    <xf numFmtId="187" fontId="44" fillId="19" borderId="4" xfId="19" applyFont="true" applyBorder="true" applyAlignment="true" applyProtection="true">
      <alignment horizontal="center" vertical="center" textRotation="0" wrapText="false" indent="0" shrinkToFit="false"/>
      <protection locked="false" hidden="false"/>
    </xf>
    <xf numFmtId="164" fontId="6" fillId="4" borderId="0" xfId="26" applyFont="true" applyBorder="false" applyAlignment="true" applyProtection="true">
      <alignment horizontal="general" vertical="center" textRotation="0" wrapText="false" indent="0" shrinkToFit="false"/>
      <protection locked="false" hidden="false"/>
    </xf>
    <xf numFmtId="171" fontId="46" fillId="4" borderId="21" xfId="19" applyFont="true" applyBorder="true" applyAlignment="true" applyProtection="true">
      <alignment horizontal="center" vertical="center" textRotation="0" wrapText="false" indent="0" shrinkToFit="false"/>
      <protection locked="false" hidden="false"/>
    </xf>
    <xf numFmtId="172" fontId="44" fillId="0" borderId="0" xfId="26" applyFont="true" applyBorder="false" applyAlignment="true" applyProtection="false">
      <alignment horizontal="general" vertical="center" textRotation="0" wrapText="false" indent="0" shrinkToFit="false"/>
      <protection locked="true" hidden="false"/>
    </xf>
    <xf numFmtId="164" fontId="47" fillId="4" borderId="0" xfId="27" applyFont="true" applyBorder="false" applyAlignment="true" applyProtection="false">
      <alignment horizontal="general" vertical="center" textRotation="0" wrapText="false" indent="0" shrinkToFit="false"/>
      <protection locked="true" hidden="false"/>
    </xf>
    <xf numFmtId="188" fontId="48" fillId="3" borderId="0" xfId="22" applyFont="true" applyBorder="false" applyAlignment="true" applyProtection="true">
      <alignment horizontal="center" vertical="center" textRotation="0" wrapText="false" indent="0" shrinkToFit="false"/>
      <protection locked="false" hidden="false"/>
    </xf>
    <xf numFmtId="189" fontId="4" fillId="2" borderId="0" xfId="21" applyFont="true" applyBorder="true" applyAlignment="true" applyProtection="false">
      <alignment horizontal="general" vertical="center" textRotation="0" wrapText="false" indent="0" shrinkToFit="false"/>
      <protection locked="true" hidden="false"/>
    </xf>
    <xf numFmtId="164" fontId="49" fillId="0" borderId="0" xfId="27" applyFont="true" applyBorder="true" applyAlignment="true" applyProtection="false">
      <alignment horizontal="center" vertical="center" textRotation="0" wrapText="true" indent="0" shrinkToFit="false"/>
      <protection locked="true" hidden="false"/>
    </xf>
    <xf numFmtId="164" fontId="50" fillId="4" borderId="0" xfId="27" applyFont="true" applyBorder="false" applyAlignment="true" applyProtection="false">
      <alignment horizontal="general" vertical="center" textRotation="0" wrapText="true" indent="0" shrinkToFit="false"/>
      <protection locked="true" hidden="false"/>
    </xf>
    <xf numFmtId="182" fontId="7" fillId="4" borderId="0" xfId="17" applyFont="true" applyBorder="false" applyAlignment="true" applyProtection="false">
      <alignment horizontal="general" vertical="center" textRotation="0" wrapText="false" indent="0" shrinkToFit="false"/>
      <protection locked="true" hidden="false"/>
    </xf>
    <xf numFmtId="164" fontId="51" fillId="4" borderId="0" xfId="27" applyFont="true" applyBorder="false" applyAlignment="true" applyProtection="false">
      <alignment horizontal="center" vertical="center" textRotation="0" wrapText="false" indent="0" shrinkToFit="false"/>
      <protection locked="true" hidden="false"/>
    </xf>
    <xf numFmtId="164" fontId="52" fillId="18" borderId="0" xfId="21" applyFont="true" applyBorder="true" applyAlignment="true" applyProtection="false">
      <alignment horizontal="center" vertical="center" textRotation="0" wrapText="false" indent="0" shrinkToFit="false"/>
      <protection locked="true" hidden="false"/>
    </xf>
    <xf numFmtId="170" fontId="4" fillId="12" borderId="0" xfId="21" applyFont="true" applyBorder="true" applyAlignment="true" applyProtection="false">
      <alignment horizontal="center" vertical="center" textRotation="0" wrapText="false" indent="0" shrinkToFit="false"/>
      <protection locked="true" hidden="false"/>
    </xf>
    <xf numFmtId="189" fontId="4" fillId="4" borderId="0" xfId="21" applyFont="true" applyBorder="true" applyAlignment="true" applyProtection="false">
      <alignment horizontal="general" vertical="center" textRotation="0" wrapText="false" indent="0" shrinkToFit="false"/>
      <protection locked="true" hidden="false"/>
    </xf>
    <xf numFmtId="172" fontId="6" fillId="0" borderId="0" xfId="26" applyFont="true" applyBorder="false" applyAlignment="true" applyProtection="false">
      <alignment horizontal="general" vertical="center" textRotation="0" wrapText="false" indent="0" shrinkToFit="false"/>
      <protection locked="true" hidden="false"/>
    </xf>
    <xf numFmtId="164" fontId="53" fillId="4" borderId="0" xfId="27" applyFont="true" applyBorder="false" applyAlignment="true" applyProtection="false">
      <alignment horizontal="center" vertical="center" textRotation="0" wrapText="false" indent="0" shrinkToFit="false"/>
      <protection locked="true" hidden="false"/>
    </xf>
    <xf numFmtId="164" fontId="52" fillId="18" borderId="0" xfId="21" applyFont="true" applyBorder="true" applyAlignment="true" applyProtection="false">
      <alignment horizontal="right" vertical="center" textRotation="0" wrapText="false" indent="2" shrinkToFit="false"/>
      <protection locked="true" hidden="false"/>
    </xf>
    <xf numFmtId="182" fontId="4" fillId="4" borderId="0" xfId="21" applyFont="true" applyBorder="true" applyAlignment="true" applyProtection="false">
      <alignment horizontal="general" vertical="center" textRotation="0" wrapText="false" indent="0" shrinkToFit="false"/>
      <protection locked="true" hidden="false"/>
    </xf>
    <xf numFmtId="170" fontId="54" fillId="4" borderId="0" xfId="27" applyFont="true" applyBorder="false" applyAlignment="true" applyProtection="false">
      <alignment horizontal="general" vertical="center" textRotation="0" wrapText="false" indent="0" shrinkToFit="false"/>
      <protection locked="true" hidden="false"/>
    </xf>
    <xf numFmtId="182" fontId="4" fillId="2" borderId="0" xfId="21" applyFont="true" applyBorder="true" applyAlignment="true" applyProtection="false">
      <alignment horizontal="general" vertical="center" textRotation="0" wrapText="false" indent="0" shrinkToFit="false"/>
      <protection locked="true" hidden="false"/>
    </xf>
    <xf numFmtId="182" fontId="6" fillId="4" borderId="0" xfId="28" applyFont="true" applyBorder="false" applyAlignment="true" applyProtection="false">
      <alignment horizontal="general" vertical="center" textRotation="0" wrapText="false" indent="0" shrinkToFit="false"/>
      <protection locked="true" hidden="false"/>
    </xf>
    <xf numFmtId="164" fontId="6" fillId="4" borderId="0" xfId="26" applyFont="true" applyBorder="false" applyAlignment="true" applyProtection="false">
      <alignment horizontal="right" vertical="center" textRotation="0" wrapText="false" indent="0" shrinkToFit="false"/>
      <protection locked="true" hidden="false"/>
    </xf>
    <xf numFmtId="164" fontId="51" fillId="4" borderId="0" xfId="27" applyFont="true" applyBorder="false" applyAlignment="true" applyProtection="false">
      <alignment horizontal="general" vertical="center" textRotation="0" wrapText="false" indent="0" shrinkToFit="false"/>
      <protection locked="true" hidden="false"/>
    </xf>
    <xf numFmtId="189" fontId="44" fillId="3" borderId="4" xfId="23" applyFont="true" applyBorder="true" applyAlignment="true" applyProtection="false">
      <alignment horizontal="left" vertical="center" textRotation="0" wrapText="false" indent="0" shrinkToFit="false"/>
      <protection locked="true" hidden="false"/>
    </xf>
    <xf numFmtId="172" fontId="44" fillId="4" borderId="0" xfId="26" applyFont="true" applyBorder="false" applyAlignment="true" applyProtection="false">
      <alignment horizontal="general" vertical="center" textRotation="0" wrapText="true" indent="0" shrinkToFit="false"/>
      <protection locked="true" hidden="false"/>
    </xf>
    <xf numFmtId="189" fontId="44" fillId="7" borderId="4" xfId="23" applyFont="true" applyBorder="true" applyAlignment="true" applyProtection="false">
      <alignment horizontal="left" vertical="center" textRotation="0" wrapText="false" indent="0" shrinkToFit="false"/>
      <protection locked="true" hidden="false"/>
    </xf>
    <xf numFmtId="172" fontId="55" fillId="5" borderId="22" xfId="26" applyFont="true" applyBorder="true" applyAlignment="true" applyProtection="false">
      <alignment horizontal="general" vertical="center" textRotation="0" wrapText="false" indent="0" shrinkToFit="false"/>
      <protection locked="true" hidden="false"/>
    </xf>
    <xf numFmtId="164" fontId="56" fillId="5" borderId="18" xfId="0" applyFont="true" applyBorder="true" applyAlignment="true" applyProtection="false">
      <alignment horizontal="general" vertical="center" textRotation="0" wrapText="false" indent="0" shrinkToFit="false"/>
      <protection locked="true" hidden="false"/>
    </xf>
    <xf numFmtId="164" fontId="6" fillId="5" borderId="18" xfId="0" applyFont="true" applyBorder="true" applyAlignment="true" applyProtection="false">
      <alignment horizontal="general" vertical="center" textRotation="0" wrapText="false" indent="0" shrinkToFit="false"/>
      <protection locked="true" hidden="false"/>
    </xf>
    <xf numFmtId="164" fontId="43" fillId="4" borderId="0" xfId="0" applyFont="true" applyBorder="false" applyAlignment="true" applyProtection="false">
      <alignment horizontal="general" vertical="center" textRotation="0" wrapText="false" indent="0" shrinkToFit="false"/>
      <protection locked="true" hidden="false"/>
    </xf>
    <xf numFmtId="164" fontId="7" fillId="4" borderId="19" xfId="27" applyFont="true" applyBorder="true" applyAlignment="true" applyProtection="false">
      <alignment horizontal="general" vertical="center" textRotation="0" wrapText="false" indent="0" shrinkToFit="false"/>
      <protection locked="true" hidden="false"/>
    </xf>
    <xf numFmtId="188" fontId="48" fillId="3" borderId="0" xfId="22" applyFont="true" applyBorder="false" applyAlignment="true" applyProtection="true">
      <alignment horizontal="right" vertical="center" textRotation="0" wrapText="false" indent="0" shrinkToFit="false"/>
      <protection locked="false" hidden="false"/>
    </xf>
    <xf numFmtId="188" fontId="48" fillId="3" borderId="0" xfId="22" applyFont="true" applyBorder="false" applyAlignment="true" applyProtection="true">
      <alignment horizontal="general" vertical="center" textRotation="0" wrapText="false" indent="0" shrinkToFit="false"/>
      <protection locked="false" hidden="false"/>
    </xf>
    <xf numFmtId="170" fontId="4" fillId="12" borderId="0" xfId="21" applyFont="true" applyBorder="true" applyAlignment="true" applyProtection="false">
      <alignment horizontal="right" vertical="center" textRotation="0" wrapText="false" indent="2" shrinkToFit="false"/>
      <protection locked="true" hidden="false"/>
    </xf>
    <xf numFmtId="164" fontId="7" fillId="4" borderId="0" xfId="27" applyFont="true" applyBorder="false" applyAlignment="true" applyProtection="true">
      <alignment horizontal="general" vertical="center" textRotation="0" wrapText="false" indent="0" shrinkToFit="false"/>
      <protection locked="false" hidden="false"/>
    </xf>
    <xf numFmtId="164" fontId="5" fillId="4" borderId="0" xfId="22" applyFont="true" applyBorder="false" applyAlignment="true" applyProtection="false">
      <alignment horizontal="general" vertical="center" textRotation="0" wrapText="false" indent="0" shrinkToFit="false"/>
      <protection locked="true" hidden="false"/>
    </xf>
    <xf numFmtId="188" fontId="6" fillId="4" borderId="0" xfId="26" applyFont="true" applyBorder="false" applyAlignment="true" applyProtection="false">
      <alignment horizontal="general" vertical="center" textRotation="0" wrapText="false" indent="0" shrinkToFit="false"/>
      <protection locked="true" hidden="false"/>
    </xf>
    <xf numFmtId="164" fontId="52" fillId="4" borderId="0" xfId="21" applyFont="true" applyBorder="true" applyAlignment="true" applyProtection="false">
      <alignment horizontal="right" vertical="center" textRotation="0" wrapText="false" indent="2" shrinkToFit="false"/>
      <protection locked="true" hidden="false"/>
    </xf>
    <xf numFmtId="164" fontId="57" fillId="4" borderId="0" xfId="27"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0" borderId="0" xfId="0" applyFont="true" applyBorder="false" applyAlignment="false" applyProtection="false">
      <alignment horizontal="general" vertical="bottom" textRotation="0" wrapText="false" indent="0" shrinkToFit="false"/>
      <protection locked="true" hidden="false"/>
    </xf>
    <xf numFmtId="164" fontId="0" fillId="20" borderId="0" xfId="0" applyFont="true" applyBorder="false" applyAlignment="true" applyProtection="false">
      <alignment horizontal="general" vertical="center"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Ausgabe 2" xfId="21"/>
    <cellStyle name="Gut 2" xfId="22"/>
    <cellStyle name="Prozent 4" xfId="23"/>
    <cellStyle name="Standard 132 2" xfId="24"/>
    <cellStyle name="Standard 2" xfId="25"/>
    <cellStyle name="Standard 2 2" xfId="26"/>
    <cellStyle name="Standard 3" xfId="27"/>
    <cellStyle name="Währung 2" xfId="28"/>
    <cellStyle name="*unknown*" xfId="20" builtinId="8"/>
  </cellStyles>
  <dxfs count="4">
    <dxf>
      <fill>
        <patternFill>
          <bgColor rgb="FFFFFF00"/>
        </patternFill>
      </fill>
    </dxf>
    <dxf>
      <fill>
        <patternFill>
          <bgColor theme="9" tint="0.7999"/>
        </patternFill>
      </fill>
    </dxf>
    <dxf>
      <fill>
        <patternFill>
          <bgColor rgb="FFFFCCC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131945"/>
      <rgbColor rgb="FF808000"/>
      <rgbColor rgb="FF800080"/>
      <rgbColor rgb="FF008080"/>
      <rgbColor rgb="FFBFBFBF"/>
      <rgbColor rgb="FF878787"/>
      <rgbColor rgb="FFB2B2B2"/>
      <rgbColor rgb="FF993366"/>
      <rgbColor rgb="FFF3F3F3"/>
      <rgbColor rgb="FFDBF2D3"/>
      <rgbColor rgb="FF660066"/>
      <rgbColor rgb="FFD9D9D9"/>
      <rgbColor rgb="FF42497B"/>
      <rgbColor rgb="FFCBD0F0"/>
      <rgbColor rgb="FF000080"/>
      <rgbColor rgb="FFFF00FF"/>
      <rgbColor rgb="FFE7E7E7"/>
      <rgbColor rgb="FF00FFFF"/>
      <rgbColor rgb="FF800080"/>
      <rgbColor rgb="FFA20000"/>
      <rgbColor rgb="FF008080"/>
      <rgbColor rgb="FF0000FF"/>
      <rgbColor rgb="FF00CCFF"/>
      <rgbColor rgb="FFEEEFF6"/>
      <rgbColor rgb="FFC6EFCE"/>
      <rgbColor rgb="FFF2F2F2"/>
      <rgbColor rgb="FFB7BAD9"/>
      <rgbColor rgb="FFFFC7CE"/>
      <rgbColor rgb="FFCBCEE3"/>
      <rgbColor rgb="FFFFCCCC"/>
      <rgbColor rgb="FF6372D3"/>
      <rgbColor rgb="FFD4D6E8"/>
      <rgbColor rgb="FFDADADA"/>
      <rgbColor rgb="FFFFC000"/>
      <rgbColor rgb="FFF0F0F0"/>
      <rgbColor rgb="FFFF6600"/>
      <rgbColor rgb="FF6D6D6D"/>
      <rgbColor rgb="FF939AC5"/>
      <rgbColor rgb="FF272A48"/>
      <rgbColor rgb="FF339966"/>
      <rgbColor rgb="FF444444"/>
      <rgbColor rgb="FF3F3F3F"/>
      <rgbColor rgb="FFC00000"/>
      <rgbColor rgb="FF993366"/>
      <rgbColor rgb="FF27348B"/>
      <rgbColor rgb="FF3E3E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
</Relationships>
</file>

<file path=xl/drawings/_rels/drawing2.xml.rels><?xml version="1.0" encoding="UTF-8"?>
<Relationships xmlns="http://schemas.openxmlformats.org/package/2006/relationships"><Relationship Id="rId1"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png"/>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7.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149040</xdr:colOff>
      <xdr:row>2</xdr:row>
      <xdr:rowOff>177120</xdr:rowOff>
    </xdr:from>
    <xdr:to>
      <xdr:col>2</xdr:col>
      <xdr:colOff>878040</xdr:colOff>
      <xdr:row>5</xdr:row>
      <xdr:rowOff>115200</xdr:rowOff>
    </xdr:to>
    <xdr:pic>
      <xdr:nvPicPr>
        <xdr:cNvPr id="0" name="Grafik 1" descr="Tageskalender mit einfarbiger Füllung"/>
        <xdr:cNvPicPr/>
      </xdr:nvPicPr>
      <xdr:blipFill>
        <a:blip r:embed="rId1"/>
        <a:stretch/>
      </xdr:blipFill>
      <xdr:spPr>
        <a:xfrm>
          <a:off x="4855680" y="634320"/>
          <a:ext cx="729000" cy="681120"/>
        </a:xfrm>
        <a:prstGeom prst="rect">
          <a:avLst/>
        </a:prstGeom>
        <a:ln w="0">
          <a:noFill/>
        </a:ln>
      </xdr:spPr>
    </xdr:pic>
    <xdr:clientData/>
  </xdr:twoCellAnchor>
  <xdr:twoCellAnchor editAs="oneCell">
    <xdr:from>
      <xdr:col>0</xdr:col>
      <xdr:colOff>79560</xdr:colOff>
      <xdr:row>2</xdr:row>
      <xdr:rowOff>213840</xdr:rowOff>
    </xdr:from>
    <xdr:to>
      <xdr:col>0</xdr:col>
      <xdr:colOff>668160</xdr:colOff>
      <xdr:row>5</xdr:row>
      <xdr:rowOff>53280</xdr:rowOff>
    </xdr:to>
    <xdr:pic>
      <xdr:nvPicPr>
        <xdr:cNvPr id="1" name="Grafik 2" descr="Produktion mit einfarbiger Füllung"/>
        <xdr:cNvPicPr/>
      </xdr:nvPicPr>
      <xdr:blipFill>
        <a:blip r:embed="rId2"/>
        <a:stretch/>
      </xdr:blipFill>
      <xdr:spPr>
        <a:xfrm>
          <a:off x="79560" y="671040"/>
          <a:ext cx="588600" cy="582480"/>
        </a:xfrm>
        <a:prstGeom prst="rect">
          <a:avLst/>
        </a:prstGeom>
        <a:ln w="0">
          <a:noFill/>
        </a:ln>
      </xdr:spPr>
    </xdr:pic>
    <xdr:clientData/>
  </xdr:twoCellAnchor>
  <xdr:twoCellAnchor editAs="oneCell">
    <xdr:from>
      <xdr:col>0</xdr:col>
      <xdr:colOff>66600</xdr:colOff>
      <xdr:row>6</xdr:row>
      <xdr:rowOff>219240</xdr:rowOff>
    </xdr:from>
    <xdr:to>
      <xdr:col>0</xdr:col>
      <xdr:colOff>625320</xdr:colOff>
      <xdr:row>9</xdr:row>
      <xdr:rowOff>16920</xdr:rowOff>
    </xdr:to>
    <xdr:pic>
      <xdr:nvPicPr>
        <xdr:cNvPr id="2" name="Grafik 6" descr="Stadt mit einfarbiger Füllung"/>
        <xdr:cNvPicPr/>
      </xdr:nvPicPr>
      <xdr:blipFill>
        <a:blip r:embed="rId3"/>
        <a:stretch/>
      </xdr:blipFill>
      <xdr:spPr>
        <a:xfrm>
          <a:off x="66600" y="1667160"/>
          <a:ext cx="558720" cy="540360"/>
        </a:xfrm>
        <a:prstGeom prst="rect">
          <a:avLst/>
        </a:prstGeom>
        <a:ln w="0">
          <a:noFill/>
        </a:ln>
      </xdr:spPr>
    </xdr:pic>
    <xdr:clientData/>
  </xdr:twoCellAnchor>
  <xdr:twoCellAnchor editAs="oneCell">
    <xdr:from>
      <xdr:col>2</xdr:col>
      <xdr:colOff>247680</xdr:colOff>
      <xdr:row>6</xdr:row>
      <xdr:rowOff>196200</xdr:rowOff>
    </xdr:from>
    <xdr:to>
      <xdr:col>2</xdr:col>
      <xdr:colOff>816840</xdr:colOff>
      <xdr:row>9</xdr:row>
      <xdr:rowOff>16920</xdr:rowOff>
    </xdr:to>
    <xdr:pic>
      <xdr:nvPicPr>
        <xdr:cNvPr id="3" name="Grafik 8" descr="Taschenrechner mit einfarbiger Füllung"/>
        <xdr:cNvPicPr/>
      </xdr:nvPicPr>
      <xdr:blipFill>
        <a:blip r:embed="rId4"/>
        <a:stretch/>
      </xdr:blipFill>
      <xdr:spPr>
        <a:xfrm>
          <a:off x="4954320" y="1644120"/>
          <a:ext cx="569160" cy="563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76320</xdr:colOff>
      <xdr:row>21</xdr:row>
      <xdr:rowOff>9360</xdr:rowOff>
    </xdr:from>
    <xdr:to>
      <xdr:col>1</xdr:col>
      <xdr:colOff>438120</xdr:colOff>
      <xdr:row>22</xdr:row>
      <xdr:rowOff>41400</xdr:rowOff>
    </xdr:to>
    <xdr:pic>
      <xdr:nvPicPr>
        <xdr:cNvPr id="4" name="Grafik 1" descr="Benutzer mit einfarbiger Füllung"/>
        <xdr:cNvPicPr/>
      </xdr:nvPicPr>
      <xdr:blipFill>
        <a:blip r:embed="rId1"/>
        <a:stretch/>
      </xdr:blipFill>
      <xdr:spPr>
        <a:xfrm>
          <a:off x="381600" y="3743280"/>
          <a:ext cx="361800" cy="3844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106560</xdr:colOff>
      <xdr:row>18</xdr:row>
      <xdr:rowOff>15120</xdr:rowOff>
    </xdr:from>
    <xdr:to>
      <xdr:col>1</xdr:col>
      <xdr:colOff>435960</xdr:colOff>
      <xdr:row>20</xdr:row>
      <xdr:rowOff>58320</xdr:rowOff>
    </xdr:to>
    <xdr:pic>
      <xdr:nvPicPr>
        <xdr:cNvPr id="5" name="Grafik 1" descr="Benutzer mit einfarbiger Füllung"/>
        <xdr:cNvPicPr/>
      </xdr:nvPicPr>
      <xdr:blipFill>
        <a:blip r:embed="rId1"/>
        <a:stretch/>
      </xdr:blipFill>
      <xdr:spPr>
        <a:xfrm>
          <a:off x="411840" y="3805920"/>
          <a:ext cx="329400" cy="4230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93240</xdr:colOff>
      <xdr:row>2</xdr:row>
      <xdr:rowOff>50400</xdr:rowOff>
    </xdr:from>
    <xdr:to>
      <xdr:col>3</xdr:col>
      <xdr:colOff>820440</xdr:colOff>
      <xdr:row>4</xdr:row>
      <xdr:rowOff>208440</xdr:rowOff>
    </xdr:to>
    <xdr:pic>
      <xdr:nvPicPr>
        <xdr:cNvPr id="6" name="Grafik 2" descr="Tageskalender mit einfarbiger Füllung"/>
        <xdr:cNvPicPr/>
      </xdr:nvPicPr>
      <xdr:blipFill>
        <a:blip r:embed="rId1"/>
        <a:stretch/>
      </xdr:blipFill>
      <xdr:spPr>
        <a:xfrm>
          <a:off x="5371200" y="603000"/>
          <a:ext cx="727200" cy="691200"/>
        </a:xfrm>
        <a:prstGeom prst="rect">
          <a:avLst/>
        </a:prstGeom>
        <a:ln w="0">
          <a:noFill/>
        </a:ln>
      </xdr:spPr>
    </xdr:pic>
    <xdr:clientData/>
  </xdr:twoCellAnchor>
  <xdr:twoCellAnchor editAs="oneCell">
    <xdr:from>
      <xdr:col>1</xdr:col>
      <xdr:colOff>75960</xdr:colOff>
      <xdr:row>2</xdr:row>
      <xdr:rowOff>96840</xdr:rowOff>
    </xdr:from>
    <xdr:to>
      <xdr:col>1</xdr:col>
      <xdr:colOff>647280</xdr:colOff>
      <xdr:row>4</xdr:row>
      <xdr:rowOff>148680</xdr:rowOff>
    </xdr:to>
    <xdr:pic>
      <xdr:nvPicPr>
        <xdr:cNvPr id="7" name="Grafik 4" descr="Produktion mit einfarbiger Füllung"/>
        <xdr:cNvPicPr/>
      </xdr:nvPicPr>
      <xdr:blipFill>
        <a:blip r:embed="rId2"/>
        <a:stretch/>
      </xdr:blipFill>
      <xdr:spPr>
        <a:xfrm>
          <a:off x="498960" y="649440"/>
          <a:ext cx="571320" cy="585000"/>
        </a:xfrm>
        <a:prstGeom prst="rect">
          <a:avLst/>
        </a:prstGeom>
        <a:ln w="0">
          <a:noFill/>
        </a:ln>
      </xdr:spPr>
    </xdr:pic>
    <xdr:clientData/>
  </xdr:twoCellAnchor>
  <xdr:twoCellAnchor editAs="oneCell">
    <xdr:from>
      <xdr:col>1</xdr:col>
      <xdr:colOff>34920</xdr:colOff>
      <xdr:row>6</xdr:row>
      <xdr:rowOff>113040</xdr:rowOff>
    </xdr:from>
    <xdr:to>
      <xdr:col>1</xdr:col>
      <xdr:colOff>587880</xdr:colOff>
      <xdr:row>8</xdr:row>
      <xdr:rowOff>135720</xdr:rowOff>
    </xdr:to>
    <xdr:pic>
      <xdr:nvPicPr>
        <xdr:cNvPr id="8" name="Grafik 7" descr="Stadt mit einfarbiger Füllung"/>
        <xdr:cNvPicPr/>
      </xdr:nvPicPr>
      <xdr:blipFill>
        <a:blip r:embed="rId3"/>
        <a:stretch/>
      </xdr:blipFill>
      <xdr:spPr>
        <a:xfrm>
          <a:off x="457920" y="1627560"/>
          <a:ext cx="552960" cy="556200"/>
        </a:xfrm>
        <a:prstGeom prst="rect">
          <a:avLst/>
        </a:prstGeom>
        <a:ln w="0">
          <a:noFill/>
        </a:ln>
      </xdr:spPr>
    </xdr:pic>
    <xdr:clientData/>
  </xdr:twoCellAnchor>
  <xdr:twoCellAnchor editAs="oneCell">
    <xdr:from>
      <xdr:col>3</xdr:col>
      <xdr:colOff>136080</xdr:colOff>
      <xdr:row>6</xdr:row>
      <xdr:rowOff>58680</xdr:rowOff>
    </xdr:from>
    <xdr:to>
      <xdr:col>3</xdr:col>
      <xdr:colOff>777240</xdr:colOff>
      <xdr:row>8</xdr:row>
      <xdr:rowOff>149400</xdr:rowOff>
    </xdr:to>
    <xdr:pic>
      <xdr:nvPicPr>
        <xdr:cNvPr id="9" name="Grafik 9" descr="Geld mit einfarbiger Füllung"/>
        <xdr:cNvPicPr/>
      </xdr:nvPicPr>
      <xdr:blipFill>
        <a:blip r:embed="rId4"/>
        <a:stretch/>
      </xdr:blipFill>
      <xdr:spPr>
        <a:xfrm>
          <a:off x="5414040" y="1573200"/>
          <a:ext cx="641160" cy="624240"/>
        </a:xfrm>
        <a:prstGeom prst="rect">
          <a:avLst/>
        </a:prstGeom>
        <a:ln w="0">
          <a:noFill/>
        </a:ln>
      </xdr:spPr>
    </xdr:pic>
    <xdr:clientData/>
  </xdr:twoCellAnchor>
  <xdr:twoCellAnchor editAs="oneCell">
    <xdr:from>
      <xdr:col>3</xdr:col>
      <xdr:colOff>192240</xdr:colOff>
      <xdr:row>9</xdr:row>
      <xdr:rowOff>131400</xdr:rowOff>
    </xdr:from>
    <xdr:to>
      <xdr:col>3</xdr:col>
      <xdr:colOff>554040</xdr:colOff>
      <xdr:row>11</xdr:row>
      <xdr:rowOff>72000</xdr:rowOff>
    </xdr:to>
    <xdr:pic>
      <xdr:nvPicPr>
        <xdr:cNvPr id="10" name="Grafik 11" descr="Benutzer mit einfarbiger Füllung"/>
        <xdr:cNvPicPr/>
      </xdr:nvPicPr>
      <xdr:blipFill>
        <a:blip r:embed="rId5"/>
        <a:stretch/>
      </xdr:blipFill>
      <xdr:spPr>
        <a:xfrm>
          <a:off x="5470200" y="2445840"/>
          <a:ext cx="361800" cy="369360"/>
        </a:xfrm>
        <a:prstGeom prst="rect">
          <a:avLst/>
        </a:prstGeom>
        <a:ln w="0">
          <a:noFill/>
        </a:ln>
      </xdr:spPr>
    </xdr:pic>
    <xdr:clientData/>
  </xdr:twoCellAnchor>
  <xdr:twoCellAnchor editAs="oneCell">
    <xdr:from>
      <xdr:col>1</xdr:col>
      <xdr:colOff>28440</xdr:colOff>
      <xdr:row>10</xdr:row>
      <xdr:rowOff>115560</xdr:rowOff>
    </xdr:from>
    <xdr:to>
      <xdr:col>1</xdr:col>
      <xdr:colOff>608760</xdr:colOff>
      <xdr:row>12</xdr:row>
      <xdr:rowOff>171360</xdr:rowOff>
    </xdr:to>
    <xdr:pic>
      <xdr:nvPicPr>
        <xdr:cNvPr id="11" name="Grafik 15" descr="Volltreffer mit einfarbiger Füllung"/>
        <xdr:cNvPicPr/>
      </xdr:nvPicPr>
      <xdr:blipFill>
        <a:blip r:embed="rId6"/>
        <a:stretch/>
      </xdr:blipFill>
      <xdr:spPr>
        <a:xfrm>
          <a:off x="451440" y="2592000"/>
          <a:ext cx="580320" cy="589320"/>
        </a:xfrm>
        <a:prstGeom prst="rect">
          <a:avLst/>
        </a:prstGeom>
        <a:ln w="0">
          <a:noFill/>
        </a:ln>
      </xdr:spPr>
    </xdr:pic>
    <xdr:clientData/>
  </xdr:twoCellAnchor>
  <xdr:twoCellAnchor editAs="oneCell">
    <xdr:from>
      <xdr:col>3</xdr:col>
      <xdr:colOff>207360</xdr:colOff>
      <xdr:row>10</xdr:row>
      <xdr:rowOff>249480</xdr:rowOff>
    </xdr:from>
    <xdr:to>
      <xdr:col>3</xdr:col>
      <xdr:colOff>553680</xdr:colOff>
      <xdr:row>12</xdr:row>
      <xdr:rowOff>92880</xdr:rowOff>
    </xdr:to>
    <xdr:pic>
      <xdr:nvPicPr>
        <xdr:cNvPr id="12" name="Grafik 1" descr="Benutzer mit einfarbiger Füllung"/>
        <xdr:cNvPicPr/>
      </xdr:nvPicPr>
      <xdr:blipFill>
        <a:blip r:embed="rId7"/>
        <a:stretch/>
      </xdr:blipFill>
      <xdr:spPr>
        <a:xfrm>
          <a:off x="5485320" y="2725920"/>
          <a:ext cx="346320" cy="3769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Design_Leadec_Excel">
  <a:themeElements>
    <a:clrScheme name="Leadec 1">
      <a:dk1>
        <a:srgbClr val="27348b"/>
      </a:dk1>
      <a:lt1>
        <a:srgbClr val="ffffff"/>
      </a:lt1>
      <a:dk2>
        <a:srgbClr val="a9aed1"/>
      </a:dk2>
      <a:lt2>
        <a:srgbClr val="d4d6e8"/>
      </a:lt2>
      <a:accent1>
        <a:srgbClr val="f29400"/>
      </a:accent1>
      <a:accent2>
        <a:srgbClr val="000000"/>
      </a:accent2>
      <a:accent3>
        <a:srgbClr val="878787"/>
      </a:accent3>
      <a:accent4>
        <a:srgbClr val="b2b2b2"/>
      </a:accent4>
      <a:accent5>
        <a:srgbClr val="dadada"/>
      </a:accent5>
      <a:accent6>
        <a:srgbClr val="52ae32"/>
      </a:accent6>
      <a:hlink>
        <a:srgbClr val="131945"/>
      </a:hlink>
      <a:folHlink>
        <a:srgbClr val="131945"/>
      </a:folHlink>
    </a:clrScheme>
    <a:fontScheme name="Arial">
      <a:majorFont>
        <a:latin typeface="Arial" pitchFamily="0" charset="1"/>
        <a:ea typeface=""/>
        <a:cs typeface=""/>
      </a:majorFont>
      <a:minorFont>
        <a:latin typeface="Arial"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hyperlink" Target="../../../../../../../:f:/r/sites/VIHAPMEintern/Ordner%20Team%20PME/03_Service%20Lines%20%26%20Teams/05_SCS/01_Tendermanagement/07_OtO+Risk%3Fcsf=1&amp;web=1&amp;e=7cLyl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L28"/>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selection pane="topLeft" activeCell="E13" activeCellId="0" sqref="E13"/>
    </sheetView>
  </sheetViews>
  <sheetFormatPr defaultColWidth="11.5625" defaultRowHeight="13.5" zeroHeight="false" outlineLevelRow="0" outlineLevelCol="0"/>
  <cols>
    <col collapsed="false" customWidth="true" hidden="false" outlineLevel="0" max="1" min="1" style="1" width="34"/>
    <col collapsed="false" customWidth="true" hidden="false" outlineLevel="0" max="2" min="2" style="1" width="32.77"/>
    <col collapsed="false" customWidth="true" hidden="false" outlineLevel="0" max="3" min="3" style="1" width="15.56"/>
    <col collapsed="false" customWidth="true" hidden="false" outlineLevel="0" max="4" min="4" style="1" width="20.78"/>
    <col collapsed="false" customWidth="true" hidden="false" outlineLevel="0" max="5" min="5" style="1" width="27.34"/>
    <col collapsed="false" customWidth="false" hidden="false" outlineLevel="0" max="16384" min="6" style="1" width="11.56"/>
  </cols>
  <sheetData>
    <row r="1" s="5" customFormat="true" ht="18" hidden="false" customHeight="true" outlineLevel="0" collapsed="false">
      <c r="A1" s="2" t="s">
        <v>0</v>
      </c>
      <c r="B1" s="3" t="s">
        <v>1</v>
      </c>
      <c r="C1" s="3"/>
      <c r="D1" s="3"/>
      <c r="E1" s="3"/>
      <c r="F1" s="3"/>
      <c r="G1" s="3"/>
      <c r="H1" s="3"/>
      <c r="I1" s="3"/>
      <c r="J1" s="3"/>
      <c r="K1" s="4"/>
      <c r="L1" s="4"/>
    </row>
    <row r="2" s="5" customFormat="true" ht="18" hidden="false" customHeight="true" outlineLevel="0" collapsed="false">
      <c r="A2" s="6"/>
      <c r="B2" s="6"/>
      <c r="C2" s="6"/>
      <c r="D2" s="6"/>
      <c r="E2" s="6"/>
      <c r="F2" s="6"/>
      <c r="G2" s="6"/>
      <c r="H2" s="6"/>
      <c r="I2" s="6"/>
      <c r="J2" s="6"/>
    </row>
    <row r="3" customFormat="false" ht="19.5" hidden="false" customHeight="true" outlineLevel="0" collapsed="false">
      <c r="A3" s="7" t="s">
        <v>2</v>
      </c>
      <c r="B3" s="8" t="s">
        <v>3</v>
      </c>
      <c r="C3" s="9"/>
      <c r="D3" s="10" t="s">
        <v>4</v>
      </c>
      <c r="E3" s="11" t="n">
        <v>46492</v>
      </c>
      <c r="F3" s="12"/>
      <c r="G3" s="12"/>
      <c r="H3" s="12"/>
      <c r="I3" s="12"/>
      <c r="J3" s="12"/>
    </row>
    <row r="4" customFormat="false" ht="19.5" hidden="false" customHeight="true" outlineLevel="0" collapsed="false">
      <c r="A4" s="7" t="s">
        <v>5</v>
      </c>
      <c r="B4" s="8" t="s">
        <v>6</v>
      </c>
      <c r="C4" s="9"/>
      <c r="D4" s="10" t="s">
        <v>7</v>
      </c>
      <c r="E4" s="13" t="n">
        <v>48318</v>
      </c>
      <c r="F4" s="12"/>
      <c r="G4" s="12"/>
      <c r="H4" s="12"/>
      <c r="I4" s="12"/>
      <c r="J4" s="12"/>
    </row>
    <row r="5" s="16" customFormat="true" ht="19.5" hidden="false" customHeight="true" outlineLevel="0" collapsed="false">
      <c r="A5" s="7" t="s">
        <v>8</v>
      </c>
      <c r="B5" s="8" t="s">
        <v>9</v>
      </c>
      <c r="C5" s="9"/>
      <c r="D5" s="10" t="s">
        <v>10</v>
      </c>
      <c r="E5" s="14" t="n">
        <f aca="false">DATEDIF(E3,E4+1,"m")</f>
        <v>60</v>
      </c>
      <c r="F5" s="15"/>
      <c r="G5" s="15"/>
      <c r="H5" s="15"/>
      <c r="I5" s="15"/>
      <c r="J5" s="15"/>
    </row>
    <row r="6" customFormat="false" ht="19.5" hidden="false" customHeight="true" outlineLevel="0" collapsed="false">
      <c r="A6" s="7" t="s">
        <v>11</v>
      </c>
      <c r="B6" s="8" t="s">
        <v>12</v>
      </c>
      <c r="C6" s="9"/>
      <c r="D6" s="10" t="s">
        <v>13</v>
      </c>
      <c r="E6" s="14" t="n">
        <f aca="false">E5/12</f>
        <v>5</v>
      </c>
      <c r="F6" s="12"/>
      <c r="G6" s="12"/>
      <c r="H6" s="12"/>
      <c r="I6" s="12"/>
      <c r="J6" s="12"/>
    </row>
    <row r="7" s="16" customFormat="true" ht="19.5" hidden="false" customHeight="true" outlineLevel="0" collapsed="false">
      <c r="A7" s="15"/>
      <c r="B7" s="17"/>
      <c r="C7" s="15"/>
      <c r="D7" s="15"/>
      <c r="E7" s="15"/>
      <c r="F7" s="15"/>
      <c r="G7" s="15"/>
      <c r="H7" s="15"/>
      <c r="I7" s="15"/>
      <c r="J7" s="15"/>
    </row>
    <row r="8" customFormat="false" ht="19.5" hidden="false" customHeight="true" outlineLevel="0" collapsed="false">
      <c r="A8" s="7" t="s">
        <v>14</v>
      </c>
      <c r="B8" s="18" t="s">
        <v>15</v>
      </c>
      <c r="C8" s="9"/>
      <c r="D8" s="10" t="s">
        <v>16</v>
      </c>
      <c r="E8" s="18" t="n">
        <v>46111</v>
      </c>
      <c r="F8" s="12"/>
      <c r="G8" s="12"/>
      <c r="H8" s="12"/>
      <c r="I8" s="12"/>
      <c r="J8" s="12"/>
    </row>
    <row r="9" customFormat="false" ht="19.5" hidden="false" customHeight="true" outlineLevel="0" collapsed="false">
      <c r="A9" s="7" t="s">
        <v>17</v>
      </c>
      <c r="B9" s="8" t="s">
        <v>18</v>
      </c>
      <c r="C9" s="9"/>
      <c r="D9" s="10" t="s">
        <v>19</v>
      </c>
      <c r="E9" s="8" t="s">
        <v>20</v>
      </c>
      <c r="F9" s="12"/>
      <c r="G9" s="12"/>
      <c r="H9" s="12"/>
      <c r="I9" s="12"/>
      <c r="J9" s="12"/>
    </row>
    <row r="10" customFormat="false" ht="19.5" hidden="false" customHeight="true" outlineLevel="0" collapsed="false">
      <c r="A10" s="12"/>
      <c r="B10" s="12"/>
      <c r="C10" s="12"/>
      <c r="D10" s="12"/>
      <c r="E10" s="12"/>
      <c r="F10" s="12"/>
      <c r="G10" s="12"/>
      <c r="H10" s="12"/>
      <c r="I10" s="12"/>
      <c r="J10" s="12"/>
    </row>
    <row r="11" customFormat="false" ht="19.5" hidden="false" customHeight="true" outlineLevel="0" collapsed="false">
      <c r="A11" s="2" t="s">
        <v>21</v>
      </c>
      <c r="B11" s="19"/>
      <c r="C11" s="2"/>
      <c r="D11" s="2"/>
      <c r="E11" s="2"/>
      <c r="F11" s="2"/>
      <c r="G11" s="20"/>
      <c r="H11" s="20"/>
      <c r="I11" s="20"/>
      <c r="J11" s="20"/>
    </row>
    <row r="12" customFormat="false" ht="11.25" hidden="false" customHeight="true" outlineLevel="0" collapsed="false">
      <c r="A12" s="21"/>
      <c r="B12" s="21"/>
      <c r="C12" s="21"/>
      <c r="D12" s="21"/>
      <c r="E12" s="21"/>
      <c r="F12" s="21"/>
    </row>
    <row r="13" customFormat="false" ht="15" hidden="false" customHeight="true" outlineLevel="0" collapsed="false">
      <c r="A13" s="1" t="s">
        <v>22</v>
      </c>
      <c r="B13" s="22" t="s">
        <v>23</v>
      </c>
      <c r="D13" s="23"/>
    </row>
    <row r="14" customFormat="false" ht="15" hidden="false" customHeight="true" outlineLevel="0" collapsed="false">
      <c r="A14" s="1" t="s">
        <v>24</v>
      </c>
      <c r="B14" s="24" t="s">
        <v>25</v>
      </c>
      <c r="D14" s="23"/>
    </row>
    <row r="15" s="26" customFormat="true" ht="15" hidden="false" customHeight="true" outlineLevel="0" collapsed="false">
      <c r="A15" s="1" t="s">
        <v>26</v>
      </c>
      <c r="B15" s="25" t="s">
        <v>25</v>
      </c>
      <c r="C15" s="1"/>
      <c r="D15" s="23"/>
      <c r="F15" s="1"/>
      <c r="G15" s="21"/>
      <c r="H15" s="21"/>
      <c r="I15" s="21"/>
      <c r="J15" s="21"/>
      <c r="K15" s="21"/>
      <c r="L15" s="21"/>
    </row>
    <row r="16" s="26" customFormat="true" ht="10.5" hidden="false" customHeight="true" outlineLevel="0" collapsed="false">
      <c r="G16" s="21"/>
      <c r="H16" s="21"/>
      <c r="I16" s="21"/>
      <c r="J16" s="21"/>
      <c r="K16" s="21"/>
      <c r="L16" s="21"/>
    </row>
    <row r="17" s="26" customFormat="true" ht="21" hidden="false" customHeight="true" outlineLevel="0" collapsed="false">
      <c r="A17" s="2" t="s">
        <v>27</v>
      </c>
      <c r="B17" s="2"/>
      <c r="C17" s="2"/>
      <c r="D17" s="2"/>
      <c r="E17" s="2"/>
      <c r="F17" s="2"/>
      <c r="G17" s="2"/>
      <c r="H17" s="2"/>
      <c r="I17" s="2"/>
      <c r="J17" s="2"/>
    </row>
    <row r="18" customFormat="false" ht="19.5" hidden="false" customHeight="true" outlineLevel="0" collapsed="false"/>
    <row r="19" customFormat="false" ht="19.5" hidden="false" customHeight="true" outlineLevel="0" collapsed="false">
      <c r="A19" s="27" t="s">
        <v>28</v>
      </c>
      <c r="B19" s="28" t="s">
        <v>29</v>
      </c>
      <c r="C19" s="28"/>
      <c r="D19" s="28"/>
      <c r="E19" s="28"/>
      <c r="F19" s="28"/>
      <c r="G19" s="28"/>
      <c r="H19" s="28"/>
      <c r="I19" s="28"/>
      <c r="J19" s="28"/>
    </row>
    <row r="20" customFormat="false" ht="110.25" hidden="false" customHeight="true" outlineLevel="0" collapsed="false">
      <c r="A20" s="27" t="s">
        <v>30</v>
      </c>
      <c r="B20" s="29" t="s">
        <v>31</v>
      </c>
      <c r="C20" s="29"/>
      <c r="D20" s="29"/>
      <c r="E20" s="29"/>
      <c r="F20" s="29"/>
      <c r="G20" s="29"/>
      <c r="H20" s="29"/>
      <c r="I20" s="29"/>
      <c r="J20" s="29"/>
    </row>
    <row r="21" customFormat="false" ht="86.25" hidden="false" customHeight="true" outlineLevel="0" collapsed="false">
      <c r="A21" s="27" t="s">
        <v>32</v>
      </c>
      <c r="B21" s="29" t="s">
        <v>33</v>
      </c>
      <c r="C21" s="29"/>
      <c r="D21" s="29"/>
      <c r="E21" s="29"/>
      <c r="F21" s="29"/>
      <c r="G21" s="29"/>
      <c r="H21" s="29"/>
      <c r="I21" s="29"/>
      <c r="J21" s="29"/>
    </row>
    <row r="22" customFormat="false" ht="57.75" hidden="false" customHeight="true" outlineLevel="0" collapsed="false">
      <c r="A22" s="27" t="s">
        <v>34</v>
      </c>
      <c r="B22" s="29" t="s">
        <v>35</v>
      </c>
      <c r="C22" s="29"/>
      <c r="D22" s="29"/>
      <c r="E22" s="29"/>
      <c r="F22" s="29"/>
      <c r="G22" s="29"/>
      <c r="H22" s="29"/>
      <c r="I22" s="29"/>
      <c r="J22" s="29"/>
    </row>
    <row r="23" customFormat="false" ht="45.75" hidden="false" customHeight="true" outlineLevel="0" collapsed="false">
      <c r="A23" s="27" t="s">
        <v>36</v>
      </c>
      <c r="B23" s="29" t="s">
        <v>37</v>
      </c>
      <c r="C23" s="29"/>
      <c r="D23" s="29"/>
      <c r="E23" s="29"/>
      <c r="F23" s="29"/>
      <c r="G23" s="29"/>
      <c r="H23" s="29"/>
      <c r="I23" s="29"/>
      <c r="J23" s="29"/>
    </row>
    <row r="24" customFormat="false" ht="19.5" hidden="false" customHeight="true" outlineLevel="0" collapsed="false">
      <c r="A24" s="27" t="s">
        <v>38</v>
      </c>
      <c r="B24" s="28" t="s">
        <v>39</v>
      </c>
      <c r="C24" s="28"/>
      <c r="D24" s="28"/>
      <c r="E24" s="28"/>
      <c r="F24" s="28"/>
      <c r="G24" s="28"/>
      <c r="H24" s="28"/>
      <c r="I24" s="28"/>
      <c r="J24" s="28"/>
    </row>
    <row r="25" customFormat="false" ht="19.5" hidden="false" customHeight="true" outlineLevel="0" collapsed="false"/>
    <row r="26" customFormat="false" ht="19.5" hidden="false" customHeight="true" outlineLevel="0" collapsed="false"/>
    <row r="27" customFormat="false" ht="51.75" hidden="false" customHeight="true" outlineLevel="0" collapsed="false">
      <c r="A27" s="27" t="s">
        <v>40</v>
      </c>
      <c r="B27" s="30" t="s">
        <v>41</v>
      </c>
      <c r="C27" s="30"/>
      <c r="D27" s="30"/>
      <c r="E27" s="30"/>
      <c r="F27" s="30"/>
      <c r="G27" s="30"/>
      <c r="H27" s="30"/>
      <c r="I27" s="30"/>
      <c r="J27" s="30"/>
    </row>
    <row r="28" customFormat="false" ht="19.5" hidden="false" customHeight="true" outlineLevel="0" collapsed="false"/>
  </sheetData>
  <mergeCells count="7">
    <mergeCell ref="B19:J19"/>
    <mergeCell ref="B20:J20"/>
    <mergeCell ref="B21:J21"/>
    <mergeCell ref="B22:J22"/>
    <mergeCell ref="B23:J23"/>
    <mergeCell ref="B24:J24"/>
    <mergeCell ref="B27:J27"/>
  </mergeCells>
  <dataValidations count="1">
    <dataValidation allowBlank="true" errorStyle="stop" operator="between" showDropDown="false" showErrorMessage="true" showInputMessage="true" sqref="B9" type="list">
      <formula1>"TFM,IFM,LOG,PEM,TC"</formula1>
      <formula2>0</formula2>
    </dataValidation>
  </dataValidation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Q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5625" defaultRowHeight="14.25" zeroHeight="false" outlineLevelRow="0" outlineLevelCol="0"/>
  <cols>
    <col collapsed="false" customWidth="true" hidden="false" outlineLevel="0" max="1" min="1" style="31" width="3"/>
    <col collapsed="false" customWidth="true" hidden="false" outlineLevel="0" max="2" min="2" style="31" width="39.56"/>
    <col collapsed="false" customWidth="true" hidden="false" outlineLevel="0" max="3" min="3" style="31" width="13.44"/>
    <col collapsed="false" customWidth="true" hidden="false" outlineLevel="0" max="4" min="4" style="32" width="2"/>
    <col collapsed="false" customWidth="true" hidden="false" outlineLevel="0" max="5" min="5" style="32" width="3"/>
    <col collapsed="false" customWidth="true" hidden="false" outlineLevel="0" max="6" min="6" style="31" width="46.11"/>
    <col collapsed="false" customWidth="true" hidden="false" outlineLevel="0" max="7" min="7" style="31" width="11.89"/>
    <col collapsed="false" customWidth="true" hidden="false" outlineLevel="0" max="8" min="8" style="32" width="2.44"/>
    <col collapsed="false" customWidth="true" hidden="false" outlineLevel="0" max="9" min="9" style="32" width="3.88"/>
    <col collapsed="false" customWidth="true" hidden="false" outlineLevel="0" max="10" min="10" style="32" width="43.67"/>
    <col collapsed="false" customWidth="true" hidden="false" outlineLevel="0" max="12" min="11" style="32" width="12"/>
    <col collapsed="false" customWidth="true" hidden="false" outlineLevel="0" max="13" min="13" style="32" width="2.67"/>
    <col collapsed="false" customWidth="false" hidden="false" outlineLevel="0" max="14" min="14" style="32" width="11.56"/>
    <col collapsed="false" customWidth="true" hidden="false" outlineLevel="0" max="15" min="15" style="32" width="48.33"/>
    <col collapsed="false" customWidth="true" hidden="false" outlineLevel="0" max="16" min="16" style="32" width="12.67"/>
    <col collapsed="false" customWidth="true" hidden="false" outlineLevel="0" max="17" min="17" style="31" width="3"/>
    <col collapsed="false" customWidth="false" hidden="false" outlineLevel="0" max="16384" min="18" style="32" width="11.56"/>
  </cols>
  <sheetData>
    <row r="1" s="40" customFormat="true" ht="30" hidden="false" customHeight="true" outlineLevel="0" collapsed="false">
      <c r="A1" s="33"/>
      <c r="B1" s="2" t="s">
        <v>42</v>
      </c>
      <c r="C1" s="34" t="s">
        <v>43</v>
      </c>
      <c r="D1" s="35"/>
      <c r="E1" s="35"/>
      <c r="F1" s="36" t="n">
        <f aca="false">'A. Start'!$E$3</f>
        <v>46492</v>
      </c>
      <c r="G1" s="37"/>
      <c r="H1" s="37"/>
      <c r="I1" s="37"/>
      <c r="J1" s="38"/>
      <c r="K1" s="39" t="s">
        <v>44</v>
      </c>
      <c r="L1" s="38"/>
      <c r="M1" s="37"/>
      <c r="N1" s="37"/>
      <c r="O1" s="37"/>
      <c r="P1" s="37"/>
      <c r="Q1" s="33"/>
    </row>
    <row r="2" s="41" customFormat="true" ht="6" hidden="false" customHeight="true" outlineLevel="0" collapsed="false">
      <c r="B2" s="42"/>
    </row>
    <row r="3" s="43" customFormat="true" ht="30" hidden="false" customHeight="true" outlineLevel="0" collapsed="false">
      <c r="B3" s="44" t="s">
        <v>45</v>
      </c>
      <c r="C3" s="44"/>
      <c r="D3" s="45"/>
      <c r="E3" s="46"/>
      <c r="F3" s="44" t="s">
        <v>46</v>
      </c>
      <c r="G3" s="44"/>
      <c r="H3" s="45"/>
      <c r="I3" s="46"/>
      <c r="J3" s="10" t="s">
        <v>47</v>
      </c>
      <c r="K3" s="47" t="s">
        <v>48</v>
      </c>
      <c r="L3" s="47" t="s">
        <v>49</v>
      </c>
      <c r="M3" s="48"/>
      <c r="O3" s="49" t="s">
        <v>50</v>
      </c>
      <c r="P3" s="50" t="n">
        <v>2026</v>
      </c>
    </row>
    <row r="4" s="31" customFormat="true" ht="15.75" hidden="false" customHeight="true" outlineLevel="0" collapsed="false">
      <c r="B4" s="51" t="s">
        <v>51</v>
      </c>
      <c r="C4" s="52" t="n">
        <v>0.05</v>
      </c>
      <c r="D4" s="51"/>
      <c r="F4" s="51" t="s">
        <v>52</v>
      </c>
      <c r="G4" s="52" t="n">
        <v>0.03</v>
      </c>
      <c r="H4" s="51"/>
      <c r="J4" s="51" t="s">
        <v>53</v>
      </c>
      <c r="K4" s="53" t="s">
        <v>54</v>
      </c>
      <c r="L4" s="54" t="n">
        <f aca="false">(G8+G11+G12+G13)/G14</f>
        <v>0.254807692307692</v>
      </c>
      <c r="M4" s="51"/>
      <c r="O4" s="32" t="s">
        <v>55</v>
      </c>
      <c r="P4" s="55" t="n">
        <f aca="false">0.073+0.0145</f>
        <v>0.0875</v>
      </c>
    </row>
    <row r="5" s="31" customFormat="true" ht="19.5" hidden="false" customHeight="true" outlineLevel="0" collapsed="false">
      <c r="B5" s="51" t="s">
        <v>56</v>
      </c>
      <c r="C5" s="52" t="n">
        <v>0.01</v>
      </c>
      <c r="D5" s="51"/>
      <c r="F5" s="51"/>
      <c r="G5" s="56"/>
      <c r="H5" s="51"/>
      <c r="J5" s="57" t="s">
        <v>57</v>
      </c>
      <c r="K5" s="58" t="n">
        <v>0.02</v>
      </c>
      <c r="L5" s="58" t="n">
        <v>0.04</v>
      </c>
      <c r="M5" s="51"/>
      <c r="O5" s="32" t="s">
        <v>58</v>
      </c>
      <c r="P5" s="55" t="n">
        <v>0.093</v>
      </c>
    </row>
    <row r="6" s="31" customFormat="true" ht="19.5" hidden="false" customHeight="true" outlineLevel="0" collapsed="false">
      <c r="B6" s="59" t="s">
        <v>59</v>
      </c>
      <c r="C6" s="60" t="n">
        <f aca="false">SUM(C4:C5)</f>
        <v>0.06</v>
      </c>
      <c r="D6" s="51"/>
      <c r="F6" s="51" t="s">
        <v>60</v>
      </c>
      <c r="G6" s="61" t="n">
        <f aca="false">DATE(YEAR('A. Start'!E3)+1,1,1)-DATE(YEAR('A. Start'!E3),1,1)</f>
        <v>365</v>
      </c>
      <c r="H6" s="51"/>
      <c r="J6" s="57" t="s">
        <v>61</v>
      </c>
      <c r="K6" s="58" t="n">
        <v>0</v>
      </c>
      <c r="L6" s="58" t="n">
        <v>0.05</v>
      </c>
      <c r="M6" s="51"/>
      <c r="O6" s="32" t="s">
        <v>62</v>
      </c>
      <c r="P6" s="55" t="n">
        <v>0.013</v>
      </c>
    </row>
    <row r="7" s="31" customFormat="true" ht="19.5" hidden="false" customHeight="true" outlineLevel="0" collapsed="false">
      <c r="B7" s="62"/>
      <c r="C7" s="56"/>
      <c r="D7" s="51"/>
      <c r="F7" s="51" t="s">
        <v>63</v>
      </c>
      <c r="G7" s="63" t="n">
        <v>104</v>
      </c>
      <c r="H7" s="51"/>
      <c r="J7" s="51"/>
      <c r="K7" s="56"/>
      <c r="L7" s="56"/>
      <c r="M7" s="51"/>
      <c r="O7" s="32" t="s">
        <v>64</v>
      </c>
      <c r="P7" s="55" t="n">
        <v>0.018</v>
      </c>
    </row>
    <row r="8" s="31" customFormat="true" ht="19.5" hidden="false" customHeight="true" outlineLevel="0" collapsed="false">
      <c r="B8" s="51" t="s">
        <v>65</v>
      </c>
      <c r="C8" s="52" t="n">
        <v>0.05</v>
      </c>
      <c r="D8" s="51"/>
      <c r="F8" s="51" t="s">
        <v>66</v>
      </c>
      <c r="G8" s="64" t="n">
        <v>9</v>
      </c>
      <c r="H8" s="51"/>
      <c r="J8" s="57" t="s">
        <v>67</v>
      </c>
      <c r="K8" s="65" t="n">
        <v>0.2436</v>
      </c>
      <c r="L8" s="65" t="n">
        <v>0.2436</v>
      </c>
      <c r="M8" s="51"/>
      <c r="O8" s="32" t="s">
        <v>68</v>
      </c>
      <c r="P8" s="66" t="n">
        <v>0.0056</v>
      </c>
    </row>
    <row r="9" s="31" customFormat="true" ht="19.5" hidden="false" customHeight="true" outlineLevel="0" collapsed="false">
      <c r="B9" s="51" t="s">
        <v>69</v>
      </c>
      <c r="C9" s="52" t="n">
        <v>0.025</v>
      </c>
      <c r="D9" s="51"/>
      <c r="F9" s="59" t="s">
        <v>70</v>
      </c>
      <c r="G9" s="67" t="n">
        <f aca="false">G6-G7-G8</f>
        <v>252</v>
      </c>
      <c r="H9" s="51"/>
      <c r="J9" s="51"/>
      <c r="K9" s="56"/>
      <c r="L9" s="56"/>
      <c r="M9" s="51"/>
      <c r="O9" s="32" t="s">
        <v>71</v>
      </c>
      <c r="P9" s="66" t="n">
        <v>0.0015</v>
      </c>
    </row>
    <row r="10" s="31" customFormat="true" ht="19.5" hidden="false" customHeight="true" outlineLevel="0" collapsed="false">
      <c r="B10" s="51" t="s">
        <v>72</v>
      </c>
      <c r="C10" s="52" t="n">
        <v>0.02</v>
      </c>
      <c r="D10" s="51"/>
      <c r="F10" s="51"/>
      <c r="G10" s="56"/>
      <c r="H10" s="51"/>
      <c r="J10" s="68" t="s">
        <v>73</v>
      </c>
      <c r="K10" s="58" t="n">
        <v>0.2</v>
      </c>
      <c r="L10" s="58" t="n">
        <v>0.25</v>
      </c>
      <c r="M10" s="51"/>
      <c r="O10" s="32" t="s">
        <v>74</v>
      </c>
      <c r="P10" s="66" t="n">
        <v>0.01</v>
      </c>
    </row>
    <row r="11" s="31" customFormat="true" ht="19.5" hidden="false" customHeight="true" outlineLevel="0" collapsed="false">
      <c r="B11" s="59" t="s">
        <v>59</v>
      </c>
      <c r="C11" s="60" t="n">
        <f aca="false">SUM(C8:C10)</f>
        <v>0.095</v>
      </c>
      <c r="D11" s="51"/>
      <c r="F11" s="51" t="s">
        <v>75</v>
      </c>
      <c r="G11" s="64" t="n">
        <v>30</v>
      </c>
      <c r="H11" s="51"/>
      <c r="J11" s="51"/>
      <c r="K11" s="51"/>
      <c r="L11" s="51"/>
      <c r="M11" s="51"/>
      <c r="O11" s="31" t="s">
        <v>76</v>
      </c>
      <c r="P11" s="69" t="n">
        <v>0.01</v>
      </c>
    </row>
    <row r="12" s="31" customFormat="true" ht="19.5" hidden="false" customHeight="true" outlineLevel="0" collapsed="false">
      <c r="B12" s="51"/>
      <c r="C12" s="51"/>
      <c r="D12" s="51"/>
      <c r="F12" s="51" t="s">
        <v>77</v>
      </c>
      <c r="G12" s="64" t="n">
        <v>12</v>
      </c>
      <c r="H12" s="51"/>
      <c r="J12" s="70" t="s">
        <v>78</v>
      </c>
      <c r="K12" s="9"/>
      <c r="L12" s="9"/>
      <c r="M12" s="51"/>
      <c r="P12" s="71" t="n">
        <f aca="false">SUM(P4:P11)</f>
        <v>0.2386</v>
      </c>
    </row>
    <row r="13" s="31" customFormat="true" ht="19.5" hidden="false" customHeight="true" outlineLevel="0" collapsed="false">
      <c r="B13" s="51" t="s">
        <v>79</v>
      </c>
      <c r="C13" s="52" t="n">
        <v>0.06</v>
      </c>
      <c r="D13" s="51"/>
      <c r="F13" s="72" t="s">
        <v>80</v>
      </c>
      <c r="G13" s="64" t="n">
        <v>2</v>
      </c>
      <c r="H13" s="51"/>
      <c r="J13" s="51"/>
      <c r="K13" s="51"/>
      <c r="L13" s="51"/>
      <c r="M13" s="73"/>
      <c r="N13" s="74"/>
    </row>
    <row r="14" s="31" customFormat="true" ht="19.5" hidden="false" customHeight="true" outlineLevel="0" collapsed="false">
      <c r="B14" s="59" t="s">
        <v>59</v>
      </c>
      <c r="C14" s="60" t="n">
        <f aca="false">SUM(C13)</f>
        <v>0.06</v>
      </c>
      <c r="D14" s="51"/>
      <c r="F14" s="59" t="s">
        <v>81</v>
      </c>
      <c r="G14" s="67" t="n">
        <f aca="false">G9-G11-G12-G13</f>
        <v>208</v>
      </c>
      <c r="H14" s="51"/>
      <c r="J14" s="51"/>
      <c r="K14" s="51"/>
      <c r="L14" s="51"/>
      <c r="M14" s="51"/>
    </row>
    <row r="15" s="31" customFormat="true" ht="19.5" hidden="false" customHeight="true" outlineLevel="0" collapsed="false">
      <c r="B15" s="51"/>
      <c r="C15" s="51"/>
      <c r="D15" s="51"/>
      <c r="F15" s="51"/>
      <c r="G15" s="56"/>
      <c r="H15" s="51"/>
      <c r="J15" s="51"/>
      <c r="K15" s="51"/>
      <c r="L15" s="51"/>
      <c r="M15" s="51"/>
    </row>
    <row r="16" s="31" customFormat="true" ht="19.5" hidden="false" customHeight="true" outlineLevel="0" collapsed="false">
      <c r="B16" s="51"/>
      <c r="C16" s="51"/>
      <c r="D16" s="51"/>
      <c r="F16" s="51" t="s">
        <v>82</v>
      </c>
      <c r="G16" s="75" t="n">
        <v>8</v>
      </c>
      <c r="H16" s="51"/>
      <c r="J16" s="51"/>
      <c r="K16" s="51"/>
      <c r="L16" s="51"/>
      <c r="M16" s="51"/>
    </row>
    <row r="17" s="31" customFormat="true" ht="19.5" hidden="false" customHeight="true" outlineLevel="0" collapsed="false">
      <c r="B17" s="51"/>
      <c r="C17" s="51"/>
      <c r="D17" s="51"/>
      <c r="F17" s="59" t="s">
        <v>83</v>
      </c>
      <c r="G17" s="76" t="n">
        <f aca="false">G14*G16</f>
        <v>1664</v>
      </c>
      <c r="H17" s="51"/>
      <c r="J17" s="51"/>
      <c r="K17" s="57"/>
      <c r="L17" s="51"/>
      <c r="M17" s="51"/>
    </row>
    <row r="18" s="31" customFormat="true" ht="9.75" hidden="false" customHeight="true" outlineLevel="0" collapsed="false">
      <c r="B18" s="51"/>
      <c r="C18" s="51"/>
      <c r="D18" s="51"/>
      <c r="F18" s="59"/>
      <c r="G18" s="77"/>
      <c r="H18" s="51"/>
      <c r="J18" s="57"/>
      <c r="K18" s="51"/>
      <c r="L18" s="51"/>
      <c r="M18" s="51"/>
    </row>
    <row r="19" s="31" customFormat="true" ht="19.5" hidden="false" customHeight="true" outlineLevel="0" collapsed="false">
      <c r="B19" s="51"/>
      <c r="C19" s="51"/>
      <c r="D19" s="51"/>
      <c r="F19" s="51" t="s">
        <v>84</v>
      </c>
      <c r="G19" s="75" t="n">
        <v>7.8</v>
      </c>
      <c r="H19" s="51"/>
      <c r="J19" s="51"/>
      <c r="K19" s="51"/>
      <c r="L19" s="51"/>
      <c r="M19" s="51"/>
    </row>
    <row r="20" s="31" customFormat="true" ht="19.5" hidden="false" customHeight="true" outlineLevel="0" collapsed="false">
      <c r="B20" s="51"/>
      <c r="C20" s="51"/>
      <c r="D20" s="51"/>
      <c r="F20" s="59" t="s">
        <v>83</v>
      </c>
      <c r="G20" s="67" t="n">
        <f aca="false">G14*G19</f>
        <v>1622.4</v>
      </c>
      <c r="H20" s="51"/>
      <c r="J20" s="51"/>
      <c r="K20" s="57"/>
      <c r="L20" s="51"/>
      <c r="M20" s="51"/>
    </row>
    <row r="21" s="31" customFormat="true" ht="19.5" hidden="false" customHeight="true" outlineLevel="0" collapsed="false">
      <c r="B21" s="51"/>
      <c r="C21" s="51"/>
      <c r="D21" s="51"/>
      <c r="F21" s="59"/>
      <c r="G21" s="77"/>
      <c r="H21" s="51"/>
      <c r="J21" s="57"/>
      <c r="K21" s="57"/>
      <c r="L21" s="57"/>
      <c r="M21" s="51"/>
    </row>
    <row r="22" s="31" customFormat="true" ht="14.25" hidden="false" customHeight="false" outlineLevel="0" collapsed="false">
      <c r="B22" s="51"/>
      <c r="C22" s="51"/>
      <c r="D22" s="51"/>
      <c r="F22" s="78"/>
      <c r="G22" s="78"/>
      <c r="H22" s="51"/>
      <c r="J22" s="57"/>
      <c r="K22" s="57"/>
      <c r="L22" s="57"/>
      <c r="M22" s="51"/>
    </row>
    <row r="23" s="31" customFormat="true" ht="14.25" hidden="false" customHeight="false" outlineLevel="0" collapsed="false">
      <c r="G23" s="79"/>
      <c r="J23" s="32"/>
      <c r="K23" s="32"/>
      <c r="L23" s="32"/>
    </row>
    <row r="24" s="31" customFormat="true" ht="14.25" hidden="false" customHeight="false" outlineLevel="0" collapsed="false">
      <c r="J24" s="32"/>
      <c r="K24" s="32"/>
      <c r="L24" s="32"/>
    </row>
    <row r="25" s="31" customFormat="true" ht="14.25" hidden="false" customHeight="false" outlineLevel="0" collapsed="false">
      <c r="B25" s="80"/>
      <c r="C25" s="80"/>
      <c r="J25" s="32"/>
      <c r="K25" s="32"/>
      <c r="L25" s="32"/>
    </row>
    <row r="26" customFormat="false" ht="14.25" hidden="false" customHeight="false" outlineLevel="0" collapsed="false">
      <c r="B26" s="81"/>
      <c r="C26" s="82"/>
    </row>
    <row r="27" customFormat="false" ht="14.25" hidden="false" customHeight="false" outlineLevel="0" collapsed="false">
      <c r="B27" s="83"/>
      <c r="C27" s="84"/>
    </row>
    <row r="28" customFormat="false" ht="14.25" hidden="false" customHeight="false" outlineLevel="0" collapsed="false">
      <c r="B28" s="83"/>
      <c r="C28" s="84"/>
    </row>
    <row r="29" customFormat="false" ht="14.25" hidden="false" customHeight="false" outlineLevel="0" collapsed="false">
      <c r="B29" s="83"/>
      <c r="C29" s="84"/>
    </row>
    <row r="30" customFormat="false" ht="14.25" hidden="false" customHeight="false" outlineLevel="0" collapsed="false">
      <c r="B30" s="83"/>
      <c r="C30" s="84"/>
    </row>
  </sheetData>
  <mergeCells count="2">
    <mergeCell ref="B3:C3"/>
    <mergeCell ref="F3:G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AJ36"/>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J31" activeCellId="0" sqref="AJ31"/>
    </sheetView>
  </sheetViews>
  <sheetFormatPr defaultColWidth="11.5625" defaultRowHeight="13.5" zeroHeight="false" outlineLevelRow="0" outlineLevelCol="1"/>
  <cols>
    <col collapsed="false" customWidth="true" hidden="false" outlineLevel="0" max="1" min="1" style="85" width="4.33"/>
    <col collapsed="false" customWidth="true" hidden="false" outlineLevel="0" max="2" min="2" style="85" width="52.88"/>
    <col collapsed="false" customWidth="true" hidden="false" outlineLevel="0" max="3" min="3" style="85" width="13.77"/>
    <col collapsed="false" customWidth="true" hidden="false" outlineLevel="0" max="4" min="4" style="85" width="15.88"/>
    <col collapsed="false" customWidth="false" hidden="false" outlineLevel="0" max="5" min="5" style="85" width="11.56"/>
    <col collapsed="false" customWidth="true" hidden="false" outlineLevel="0" max="6" min="6" style="85" width="9.88"/>
    <col collapsed="false" customWidth="true" hidden="false" outlineLevel="0" max="7" min="7" style="85" width="3.56"/>
    <col collapsed="false" customWidth="true" hidden="false" outlineLevel="1" max="17" min="8" style="85" width="11.77"/>
    <col collapsed="false" customWidth="true" hidden="false" outlineLevel="0" max="18" min="18" style="85" width="10.21"/>
    <col collapsed="false" customWidth="true" hidden="false" outlineLevel="1" max="19" min="19" style="85" width="10.21"/>
    <col collapsed="false" customWidth="true" hidden="false" outlineLevel="0" max="20" min="20" style="85" width="10.21"/>
    <col collapsed="false" customWidth="true" hidden="false" outlineLevel="1" max="21" min="21" style="85" width="10.21"/>
    <col collapsed="false" customWidth="true" hidden="false" outlineLevel="0" max="22" min="22" style="85" width="10.21"/>
    <col collapsed="false" customWidth="true" hidden="false" outlineLevel="1" max="23" min="23" style="85" width="10.21"/>
    <col collapsed="false" customWidth="true" hidden="false" outlineLevel="0" max="24" min="24" style="85" width="10.21"/>
    <col collapsed="false" customWidth="true" hidden="false" outlineLevel="1" max="25" min="25" style="85" width="10.21"/>
    <col collapsed="false" customWidth="true" hidden="false" outlineLevel="0" max="26" min="26" style="85" width="10.21"/>
    <col collapsed="false" customWidth="true" hidden="false" outlineLevel="1" max="27" min="27" style="85" width="10.21"/>
    <col collapsed="false" customWidth="true" hidden="false" outlineLevel="0" max="28" min="28" style="85" width="10.21"/>
    <col collapsed="false" customWidth="true" hidden="false" outlineLevel="1" max="29" min="29" style="85" width="10.21"/>
    <col collapsed="false" customWidth="true" hidden="false" outlineLevel="0" max="30" min="30" style="85" width="10.21"/>
    <col collapsed="false" customWidth="true" hidden="false" outlineLevel="0" max="31" min="31" style="85" width="3.67"/>
    <col collapsed="false" customWidth="true" hidden="false" outlineLevel="1" max="32" min="32" style="85" width="16.56"/>
    <col collapsed="false" customWidth="true" hidden="false" outlineLevel="1" max="34" min="33" style="85" width="20.66"/>
    <col collapsed="false" customWidth="true" hidden="false" outlineLevel="0" max="35" min="35" style="85" width="13.88"/>
    <col collapsed="false" customWidth="true" hidden="false" outlineLevel="0" max="36" min="36" style="85" width="14.33"/>
    <col collapsed="false" customWidth="false" hidden="false" outlineLevel="0" max="16384" min="37" style="85" width="11.56"/>
  </cols>
  <sheetData>
    <row r="1" s="86" customFormat="true" ht="17.25" hidden="false" customHeight="true" outlineLevel="0" collapsed="false">
      <c r="B1" s="2" t="s">
        <v>85</v>
      </c>
    </row>
    <row r="2" customFormat="false" ht="6" hidden="false" customHeight="true" outlineLevel="0" collapsed="false">
      <c r="H2" s="87" t="s">
        <v>86</v>
      </c>
      <c r="I2" s="88"/>
      <c r="J2" s="88"/>
      <c r="K2" s="32"/>
    </row>
    <row r="3" customFormat="false" ht="14.25" hidden="false" customHeight="true" outlineLevel="0" collapsed="false">
      <c r="A3" s="89" t="s">
        <v>87</v>
      </c>
      <c r="B3" s="90" t="s">
        <v>88</v>
      </c>
      <c r="C3" s="91" t="s">
        <v>89</v>
      </c>
      <c r="D3" s="91" t="s">
        <v>90</v>
      </c>
      <c r="H3" s="87"/>
      <c r="I3" s="88"/>
      <c r="J3" s="88"/>
      <c r="K3" s="32"/>
    </row>
    <row r="4" customFormat="false" ht="14.25" hidden="false" customHeight="true" outlineLevel="0" collapsed="false">
      <c r="A4" s="92" t="s">
        <v>91</v>
      </c>
      <c r="B4" s="93" t="s">
        <v>92</v>
      </c>
      <c r="C4" s="94" t="s">
        <v>93</v>
      </c>
      <c r="D4" s="95" t="n">
        <f aca="false">'B. Basisdaten'!$G$4</f>
        <v>0.03</v>
      </c>
      <c r="H4" s="96" t="s">
        <v>94</v>
      </c>
      <c r="I4" s="96" t="s">
        <v>95</v>
      </c>
      <c r="J4" s="96" t="s">
        <v>96</v>
      </c>
    </row>
    <row r="5" customFormat="false" ht="14.25" hidden="false" customHeight="true" outlineLevel="0" collapsed="false">
      <c r="A5" s="97" t="n">
        <v>100</v>
      </c>
      <c r="B5" s="98" t="s">
        <v>97</v>
      </c>
      <c r="C5" s="99" t="n">
        <v>1</v>
      </c>
      <c r="D5" s="100" t="n">
        <v>45000</v>
      </c>
      <c r="H5" s="101" t="n">
        <f aca="false">YEAR('A. Start'!$E$3)</f>
        <v>2027</v>
      </c>
      <c r="I5" s="101" t="n">
        <f aca="false">ROUNDDOWN(IF(AND($H5&gt;=YEAR('A. Start'!$E$3),$H5&lt;=YEAR('A. Start'!$E$4),YEAR('A. Start'!E3)&lt;&gt;YEAR('A. Start'!E4)),(DATEDIF(DATE(YEAR('A. Start'!$E$3),MONTH('A. Start'!$E$3),DAY('A. Start'!$E$3)),DATE($H5,12,31),"d")+1)/IF(MOD($H5,4)=0,366,365)*12,IF(YEAR('A. Start'!E3)=YEAR('A. Start'!E4),'A. Start'!E5,0)),1)</f>
        <v>8.5</v>
      </c>
      <c r="J5" s="102" t="n">
        <f aca="false">I5/12</f>
        <v>0.708333333333333</v>
      </c>
    </row>
    <row r="6" customFormat="false" ht="14.25" hidden="false" customHeight="true" outlineLevel="0" collapsed="false">
      <c r="A6" s="103" t="n">
        <v>101</v>
      </c>
      <c r="B6" s="93" t="s">
        <v>98</v>
      </c>
      <c r="C6" s="104" t="n">
        <v>0</v>
      </c>
      <c r="D6" s="105" t="n">
        <v>0</v>
      </c>
      <c r="H6" s="101" t="n">
        <f aca="false">IF(AND($H5&lt;YEAR('A. Start'!$E$4),$H5&gt;0),$H5+1,IF($H5=YEAR('A. Start'!$E$4),0,IF($H5=0,0,0)))</f>
        <v>2028</v>
      </c>
      <c r="I6" s="101" t="n">
        <f aca="false">ROUNDUP(IF(AND($H6&gt;=YEAR('A. Start'!$E$3),$H6&lt;=YEAR('A. Start'!$E$4)),IF($H6&lt;&gt;YEAR('A. Start'!$E$4),12,(DATEDIF(DATE($H6,1,1),DATE(YEAR('A. Start'!$E$4),MONTH('A. Start'!$E$4),DAY('A. Start'!$E$4)),"d")+1)/IF(MOD($H6,4)=0,366,365)*12)),1)</f>
        <v>12</v>
      </c>
      <c r="J6" s="102" t="n">
        <f aca="false">I6/12</f>
        <v>1</v>
      </c>
    </row>
    <row r="7" customFormat="false" ht="14.25" hidden="false" customHeight="true" outlineLevel="0" collapsed="false">
      <c r="A7" s="103" t="n">
        <v>102</v>
      </c>
      <c r="B7" s="94" t="s">
        <v>99</v>
      </c>
      <c r="C7" s="104" t="n">
        <f aca="false">'B. Basisdaten'!$K$5+'B. Basisdaten'!$K$6</f>
        <v>0.02</v>
      </c>
      <c r="D7" s="105" t="n">
        <f aca="false">D5*($C$7)</f>
        <v>900</v>
      </c>
      <c r="H7" s="101" t="n">
        <f aca="false">IF(AND($H6&lt;YEAR('A. Start'!$E$4),$H6&gt;0),$H6+1,IF($H6=YEAR('A. Start'!$E$4),0,IF($H6=0,0,0)))</f>
        <v>2029</v>
      </c>
      <c r="I7" s="101" t="n">
        <f aca="false">ROUNDUP(IF(AND($H7&gt;=YEAR('A. Start'!$E$3),$H7&lt;=YEAR('A. Start'!$E$4)),IF($H7&lt;&gt;YEAR('A. Start'!$E$4),12,(DATEDIF(DATE($H7,1,1),DATE(YEAR('A. Start'!$E$4),MONTH('A. Start'!$E$4),DAY('A. Start'!$E$4)),"d")+1)/IF(MOD($H7,4)=0,366,365)*12)),1)</f>
        <v>12</v>
      </c>
      <c r="J7" s="102" t="n">
        <f aca="false">I7/12</f>
        <v>1</v>
      </c>
    </row>
    <row r="8" customFormat="false" ht="14.25" hidden="false" customHeight="true" outlineLevel="0" collapsed="false">
      <c r="A8" s="97" t="n">
        <v>200</v>
      </c>
      <c r="B8" s="98" t="s">
        <v>100</v>
      </c>
      <c r="C8" s="99" t="n">
        <f aca="false">SUM(C5:C7)</f>
        <v>1.02</v>
      </c>
      <c r="D8" s="106" t="n">
        <f aca="false">(D7+D5)/$I$17</f>
        <v>28.2914201183432</v>
      </c>
      <c r="H8" s="101" t="n">
        <f aca="false">IF(AND($H7&lt;YEAR('A. Start'!$E$4),$H7&gt;0),$H7+1,IF($H7=YEAR('A. Start'!$E$4),0,IF($H7=0,0,0)))</f>
        <v>2030</v>
      </c>
      <c r="I8" s="101" t="n">
        <f aca="false">ROUNDUP(IF(AND($H8&gt;=YEAR('A. Start'!$E$3),$H8&lt;=YEAR('A. Start'!$E$4)),IF($H8&lt;&gt;YEAR('A. Start'!$E$4),12,(DATEDIF(DATE($H8,1,1),DATE(YEAR('A. Start'!$E$4),MONTH('A. Start'!$E$4),DAY('A. Start'!$E$4)),"d")+1)/IF(MOD($H8,4)=0,366,365)*12)),1)</f>
        <v>12</v>
      </c>
      <c r="J8" s="102" t="n">
        <f aca="false">I8/12</f>
        <v>1</v>
      </c>
    </row>
    <row r="9" customFormat="false" ht="14.25" hidden="false" customHeight="true" outlineLevel="0" collapsed="false">
      <c r="A9" s="103" t="n">
        <v>201</v>
      </c>
      <c r="B9" s="93" t="s">
        <v>101</v>
      </c>
      <c r="C9" s="107" t="n">
        <f aca="false">'B. Basisdaten'!K8</f>
        <v>0.2436</v>
      </c>
      <c r="D9" s="105" t="n">
        <f aca="false">(D8)*$C$9</f>
        <v>6.8917899408284</v>
      </c>
      <c r="H9" s="101" t="n">
        <f aca="false">IF(AND($H8&lt;YEAR('A. Start'!$E$4),$H8&gt;0),$H8+1,IF($H8=YEAR('A. Start'!$E$4),0,IF($H8=0,0,0)))</f>
        <v>2031</v>
      </c>
      <c r="I9" s="101" t="n">
        <f aca="false">ROUNDUP(IF(AND($H9&gt;=YEAR('A. Start'!$E$3),$H9&lt;=YEAR('A. Start'!$E$4)),IF($H9&lt;&gt;YEAR('A. Start'!$E$4),12,(DATEDIF(DATE($H9,1,1),DATE(YEAR('A. Start'!$E$4),MONTH('A. Start'!$E$4),DAY('A. Start'!$E$4)),"d")+1)/IF(MOD($H9,4)=0,366,365)*12)),1)</f>
        <v>12</v>
      </c>
      <c r="J9" s="102" t="n">
        <f aca="false">I9/12</f>
        <v>1</v>
      </c>
    </row>
    <row r="10" customFormat="false" ht="14.25" hidden="false" customHeight="true" outlineLevel="0" collapsed="false">
      <c r="A10" s="97" t="n">
        <v>300</v>
      </c>
      <c r="B10" s="98" t="s">
        <v>102</v>
      </c>
      <c r="C10" s="99" t="n">
        <f aca="false">C8*(1+C9)</f>
        <v>1.268472</v>
      </c>
      <c r="D10" s="106" t="n">
        <f aca="false">D8+D9</f>
        <v>35.1832100591716</v>
      </c>
      <c r="H10" s="101" t="n">
        <f aca="false">IF(AND($H9&lt;YEAR('A. Start'!$E$4),$H9&gt;0),$H9+1,IF($H9=YEAR('A. Start'!$E$4),0,IF($H9=0,0,0)))</f>
        <v>2032</v>
      </c>
      <c r="I10" s="101" t="n">
        <f aca="false">ROUNDUP(IF(AND($H10&gt;=YEAR('A. Start'!$E$3),$H10&lt;=YEAR('A. Start'!$E$4)),IF($H10&lt;&gt;YEAR('A. Start'!$E$4),12,(DATEDIF(DATE($H10,1,1),DATE(YEAR('A. Start'!$E$4),MONTH('A. Start'!$E$4),DAY('A. Start'!$E$4)),"d")+1)/IF(MOD($H10,4)=0,366,365)*12)),1)</f>
        <v>3.5</v>
      </c>
      <c r="J10" s="102" t="n">
        <f aca="false">I10/12</f>
        <v>0.291666666666667</v>
      </c>
    </row>
    <row r="11" customFormat="false" ht="14.25" hidden="false" customHeight="true" outlineLevel="0" collapsed="false">
      <c r="A11" s="103" t="n">
        <v>301</v>
      </c>
      <c r="B11" s="93" t="s">
        <v>103</v>
      </c>
      <c r="C11" s="104" t="n">
        <f aca="false">'B. Basisdaten'!$C$11</f>
        <v>0.095</v>
      </c>
      <c r="D11" s="105" t="n">
        <f aca="false">(D10)/(1-$C$11-$C$13-$C$14)*$C$11</f>
        <v>3.95550882322048</v>
      </c>
      <c r="H11" s="101" t="n">
        <f aca="false">IF(AND($H10&lt;YEAR('A. Start'!$E$4),$H10&gt;0),$H10+1,IF($H10=YEAR('A. Start'!$E$4),0,IF($H10=0,0,0)))</f>
        <v>0</v>
      </c>
      <c r="I11" s="101" t="n">
        <f aca="false">ROUNDUP(IF(AND($H11&gt;=YEAR('A. Start'!$E$3),$H11&lt;=YEAR('A. Start'!$E$4)),IF($H11&lt;&gt;YEAR('A. Start'!$E$4),12,(DATEDIF(DATE($H11,1,1),DATE(YEAR('A. Start'!$E$4),MONTH('A. Start'!$E$4),DAY('A. Start'!$E$4)),"d")+1)/IF(MOD($H11,4)=0,366,365)*12)),1)</f>
        <v>0</v>
      </c>
      <c r="J11" s="102" t="n">
        <f aca="false">I11/12</f>
        <v>0</v>
      </c>
    </row>
    <row r="12" customFormat="false" ht="14.25" hidden="false" customHeight="true" outlineLevel="0" collapsed="false">
      <c r="A12" s="97" t="n">
        <v>400</v>
      </c>
      <c r="B12" s="98" t="s">
        <v>104</v>
      </c>
      <c r="C12" s="108" t="n">
        <f aca="false">D12/($D$5/$I$17)</f>
        <v>1.41108127810651</v>
      </c>
      <c r="D12" s="106" t="n">
        <f aca="false">D10+D11</f>
        <v>39.1387188823921</v>
      </c>
      <c r="H12" s="101" t="n">
        <f aca="false">IF(AND($H11&lt;YEAR('A. Start'!$E$4),$H11&gt;0),$H11+1,IF($H11=YEAR('A. Start'!$E$4),0,IF($H11=0,0,0)))</f>
        <v>0</v>
      </c>
      <c r="I12" s="101" t="n">
        <f aca="false">ROUNDUP(IF(AND($H12&gt;=YEAR('A. Start'!$E$3),$H12&lt;=YEAR('A. Start'!$E$4)),IF($H12&lt;&gt;YEAR('A. Start'!$E$4),12,(DATEDIF(DATE($H12,1,1),DATE(YEAR('A. Start'!$E$4),MONTH('A. Start'!$E$4),DAY('A. Start'!$E$4)),"d")+1)/IF(MOD($H12,4)=0,366,365)*12)),1)</f>
        <v>0</v>
      </c>
      <c r="J12" s="102" t="n">
        <f aca="false">I12/12</f>
        <v>0</v>
      </c>
    </row>
    <row r="13" customFormat="false" ht="14.25" hidden="false" customHeight="true" outlineLevel="0" collapsed="false">
      <c r="A13" s="103" t="n">
        <v>401</v>
      </c>
      <c r="B13" s="93" t="s">
        <v>105</v>
      </c>
      <c r="C13" s="104" t="n">
        <f aca="false">'B. Basisdaten'!C4</f>
        <v>0.05</v>
      </c>
      <c r="D13" s="105" t="n">
        <f aca="false">(D10)/(1-$C$11-$C$13-$C$14)*($C$13+$C$14)</f>
        <v>2.49821609887609</v>
      </c>
      <c r="H13" s="101" t="n">
        <f aca="false">IF(AND($H12&lt;YEAR('A. Start'!$E$4),$H12&gt;0),$H12+1,IF($H12=YEAR('A. Start'!$E$4),0,IF($H12=0,0,0)))</f>
        <v>0</v>
      </c>
      <c r="I13" s="101" t="n">
        <f aca="false">ROUNDUP(IF(AND($H13&gt;=YEAR('A. Start'!$E$3),$H13&lt;=YEAR('A. Start'!$E$4)),IF($H13&lt;&gt;YEAR('A. Start'!$E$4),12,(DATEDIF(DATE($H13,1,1),DATE(YEAR('A. Start'!$E$4),MONTH('A. Start'!$E$4),DAY('A. Start'!$E$4)),"d")+1)/IF(MOD($H13,4)=0,366,365)*12)),1)</f>
        <v>0</v>
      </c>
      <c r="J13" s="102" t="n">
        <f aca="false">I13/12</f>
        <v>0</v>
      </c>
    </row>
    <row r="14" customFormat="false" ht="14.25" hidden="false" customHeight="true" outlineLevel="0" collapsed="false">
      <c r="A14" s="103" t="n">
        <v>402</v>
      </c>
      <c r="B14" s="93" t="s">
        <v>106</v>
      </c>
      <c r="C14" s="104" t="n">
        <f aca="false">'B. Basisdaten'!C5</f>
        <v>0.01</v>
      </c>
      <c r="D14" s="105"/>
      <c r="H14" s="101" t="n">
        <f aca="false">IF(AND($H13&lt;YEAR('A. Start'!$E$4),$H13&gt;0),$H13+1,IF($H13=YEAR('A. Start'!$E$4),0,IF($H13=0,0,0)))</f>
        <v>0</v>
      </c>
      <c r="I14" s="101" t="n">
        <f aca="false">ROUNDUP(IF(AND($H14&gt;=YEAR('A. Start'!$E$3),$H14&lt;=YEAR('A. Start'!$E$4)),IF($H14&lt;&gt;YEAR('A. Start'!$E$4),12,(DATEDIF(DATE($H14,1,1),DATE(YEAR('A. Start'!$E$4),MONTH('A. Start'!$E$4),DAY('A. Start'!$E$4)),"d")+1)/IF(MOD($H14,4)=0,366,365)*12)),1)</f>
        <v>0</v>
      </c>
      <c r="J14" s="102" t="n">
        <f aca="false">I14/12</f>
        <v>0</v>
      </c>
    </row>
    <row r="15" customFormat="false" ht="14.25" hidden="false" customHeight="true" outlineLevel="0" collapsed="false">
      <c r="A15" s="97" t="n">
        <v>500</v>
      </c>
      <c r="B15" s="98" t="s">
        <v>107</v>
      </c>
      <c r="C15" s="108" t="n">
        <f aca="false">D15/($D$5/$I$17)</f>
        <v>1.50115029585799</v>
      </c>
      <c r="D15" s="106" t="n">
        <f aca="false">D13+D12</f>
        <v>41.6369349812682</v>
      </c>
      <c r="H15" s="109"/>
      <c r="I15" s="110" t="n">
        <f aca="false">ROUNDDOWN(SUM(I5:I14),0.5)</f>
        <v>60</v>
      </c>
      <c r="J15" s="111" t="n">
        <f aca="false">I15/12</f>
        <v>5</v>
      </c>
    </row>
    <row r="16" customFormat="false" ht="14.25" hidden="false" customHeight="true" outlineLevel="0" collapsed="false">
      <c r="A16" s="103" t="n">
        <v>501</v>
      </c>
      <c r="B16" s="93" t="s">
        <v>108</v>
      </c>
      <c r="C16" s="104" t="n">
        <f aca="false">'B. Basisdaten'!C13</f>
        <v>0.06</v>
      </c>
      <c r="D16" s="105" t="n">
        <f aca="false">(D15/(1-$C$16))-D15</f>
        <v>2.65767670093202</v>
      </c>
    </row>
    <row r="17" customFormat="false" ht="14.25" hidden="false" customHeight="true" outlineLevel="0" collapsed="false">
      <c r="A17" s="97" t="n">
        <v>600</v>
      </c>
      <c r="B17" s="98" t="s">
        <v>109</v>
      </c>
      <c r="C17" s="99" t="n">
        <f aca="false">D17/($D$5/$I$17)</f>
        <v>1.59696839984892</v>
      </c>
      <c r="D17" s="106" t="n">
        <f aca="false">D15+D16</f>
        <v>44.2946116822002</v>
      </c>
      <c r="H17" s="96" t="s">
        <v>110</v>
      </c>
      <c r="I17" s="112" t="n">
        <f aca="false">'B. Basisdaten'!$G$20</f>
        <v>1622.4</v>
      </c>
    </row>
    <row r="18" customFormat="false" ht="14.25" hidden="false" customHeight="true" outlineLevel="0" collapsed="false">
      <c r="A18" s="103" t="n">
        <v>601</v>
      </c>
      <c r="B18" s="93" t="s">
        <v>111</v>
      </c>
      <c r="C18" s="104" t="n">
        <f aca="false">'B. Basisdaten'!K10</f>
        <v>0.2</v>
      </c>
      <c r="D18" s="105" t="n">
        <f aca="false">D17*C18</f>
        <v>8.85892233644004</v>
      </c>
      <c r="AF18" s="113"/>
    </row>
    <row r="19" customFormat="false" ht="14.25" hidden="false" customHeight="true" outlineLevel="0" collapsed="false">
      <c r="A19" s="97" t="n">
        <v>700</v>
      </c>
      <c r="B19" s="98" t="s">
        <v>112</v>
      </c>
      <c r="C19" s="99" t="n">
        <f aca="false">D19/($D$5/$I$17)</f>
        <v>1.91636207981871</v>
      </c>
      <c r="D19" s="106" t="n">
        <f aca="false">D18+D17</f>
        <v>53.1535340186402</v>
      </c>
    </row>
    <row r="20" s="32" customFormat="true" ht="14.25" hidden="false" customHeight="true" outlineLevel="0" collapsed="false">
      <c r="H20" s="114" t="s">
        <v>113</v>
      </c>
      <c r="I20" s="115"/>
      <c r="J20" s="115"/>
      <c r="K20" s="115"/>
      <c r="L20" s="115"/>
      <c r="M20" s="115"/>
      <c r="N20" s="115"/>
      <c r="O20" s="115"/>
      <c r="P20" s="115"/>
      <c r="Q20" s="115"/>
      <c r="R20" s="116" t="s">
        <v>114</v>
      </c>
      <c r="S20" s="117"/>
      <c r="T20" s="117"/>
      <c r="U20" s="117"/>
      <c r="V20" s="117"/>
      <c r="W20" s="117"/>
      <c r="X20" s="117"/>
      <c r="Y20" s="117"/>
      <c r="Z20" s="117"/>
      <c r="AA20" s="117"/>
      <c r="AB20" s="117"/>
      <c r="AC20" s="117"/>
      <c r="AD20" s="117"/>
      <c r="AF20" s="118" t="s">
        <v>115</v>
      </c>
      <c r="AG20" s="119"/>
      <c r="AH20" s="119"/>
    </row>
    <row r="21" s="32" customFormat="true" ht="14.25" hidden="false" customHeight="true" outlineLevel="0" collapsed="false">
      <c r="H21" s="120" t="n">
        <f aca="false" t="array" ref="H21:Q21">TRANSPOSE(J5:J14)</f>
        <v>0.708333333333333</v>
      </c>
      <c r="I21" s="120" t="n">
        <v>1</v>
      </c>
      <c r="J21" s="120" t="n">
        <v>1</v>
      </c>
      <c r="K21" s="120" t="n">
        <v>1</v>
      </c>
      <c r="L21" s="120" t="n">
        <v>1</v>
      </c>
      <c r="M21" s="120" t="n">
        <v>0.291666666666667</v>
      </c>
      <c r="N21" s="120" t="n">
        <v>0</v>
      </c>
      <c r="O21" s="120" t="n">
        <v>0</v>
      </c>
      <c r="P21" s="120" t="n">
        <v>0</v>
      </c>
      <c r="Q21" s="120" t="n">
        <v>0</v>
      </c>
    </row>
    <row r="22" s="124" customFormat="true" ht="27.75" hidden="false" customHeight="true" outlineLevel="0" collapsed="false">
      <c r="A22" s="121" t="s">
        <v>116</v>
      </c>
      <c r="B22" s="121" t="s">
        <v>117</v>
      </c>
      <c r="C22" s="122" t="s">
        <v>118</v>
      </c>
      <c r="D22" s="122" t="s">
        <v>119</v>
      </c>
      <c r="E22" s="122" t="s">
        <v>120</v>
      </c>
      <c r="F22" s="123" t="s">
        <v>121</v>
      </c>
      <c r="H22" s="96" t="n">
        <f aca="false" t="array" ref="H22:Q22">TRANSPOSE(H5:H14)</f>
        <v>2027</v>
      </c>
      <c r="I22" s="96" t="n">
        <v>2028</v>
      </c>
      <c r="J22" s="96" t="n">
        <v>2029</v>
      </c>
      <c r="K22" s="96" t="n">
        <v>2030</v>
      </c>
      <c r="L22" s="96" t="n">
        <v>2031</v>
      </c>
      <c r="M22" s="96" t="n">
        <v>2032</v>
      </c>
      <c r="N22" s="96" t="n">
        <v>0</v>
      </c>
      <c r="O22" s="96" t="n">
        <v>0</v>
      </c>
      <c r="P22" s="96" t="n">
        <v>0</v>
      </c>
      <c r="Q22" s="96" t="n">
        <v>0</v>
      </c>
      <c r="R22" s="125" t="n">
        <v>100</v>
      </c>
      <c r="S22" s="126" t="s">
        <v>122</v>
      </c>
      <c r="T22" s="127" t="n">
        <v>200</v>
      </c>
      <c r="U22" s="128" t="n">
        <v>201</v>
      </c>
      <c r="V22" s="125" t="n">
        <v>300</v>
      </c>
      <c r="W22" s="126" t="n">
        <v>301</v>
      </c>
      <c r="X22" s="127" t="n">
        <v>400</v>
      </c>
      <c r="Y22" s="126" t="s">
        <v>123</v>
      </c>
      <c r="Z22" s="125" t="n">
        <v>500</v>
      </c>
      <c r="AA22" s="128" t="n">
        <v>501</v>
      </c>
      <c r="AB22" s="125" t="n">
        <v>600</v>
      </c>
      <c r="AC22" s="128" t="n">
        <v>601</v>
      </c>
      <c r="AD22" s="125" t="n">
        <v>700</v>
      </c>
      <c r="AF22" s="129" t="s">
        <v>124</v>
      </c>
      <c r="AG22" s="129" t="s">
        <v>125</v>
      </c>
      <c r="AH22" s="129" t="s">
        <v>126</v>
      </c>
    </row>
    <row r="23" s="40" customFormat="true" ht="18" hidden="false" customHeight="true" outlineLevel="0" collapsed="false">
      <c r="A23" s="130" t="n">
        <v>1</v>
      </c>
      <c r="B23" s="131" t="s">
        <v>127</v>
      </c>
      <c r="C23" s="132" t="n">
        <v>1</v>
      </c>
      <c r="D23" s="133" t="n">
        <v>98000</v>
      </c>
      <c r="E23" s="134" t="n">
        <v>0</v>
      </c>
      <c r="F23" s="135" t="n">
        <f aca="false">C23*(1+E23)</f>
        <v>1</v>
      </c>
      <c r="H23" s="136" t="n">
        <f aca="false">D23</f>
        <v>98000</v>
      </c>
      <c r="I23" s="136" t="n">
        <f aca="false">IF(I$22=0,"",H23*(1+'B. Basisdaten'!$G$4))</f>
        <v>100940</v>
      </c>
      <c r="J23" s="136" t="n">
        <f aca="false">IF(J$22=0,"",I23*(1+'B. Basisdaten'!$G$4))</f>
        <v>103968.2</v>
      </c>
      <c r="K23" s="136" t="n">
        <f aca="false">IF(K$22=0,"",J23*(1+'B. Basisdaten'!$G$4))</f>
        <v>107087.246</v>
      </c>
      <c r="L23" s="136" t="n">
        <f aca="false">IF(L$22=0,"",K23*(1+'B. Basisdaten'!$G$4))</f>
        <v>110299.86338</v>
      </c>
      <c r="M23" s="136" t="n">
        <f aca="false">IF(M$22=0,"",L23*(1+'B. Basisdaten'!$G$4))</f>
        <v>113608.8592814</v>
      </c>
      <c r="N23" s="136" t="str">
        <f aca="false">IF(N$22=0,"",M23*(1+'B. Basisdaten'!$G$4))</f>
        <v/>
      </c>
      <c r="O23" s="136" t="str">
        <f aca="false">IF(O$22=0,"",N23*(1+'B. Basisdaten'!$G$4))</f>
        <v/>
      </c>
      <c r="P23" s="136" t="str">
        <f aca="false">IF(P$22=0,"",O23*(1+'B. Basisdaten'!$G$4))</f>
        <v/>
      </c>
      <c r="Q23" s="136" t="str">
        <f aca="false">IF(Q$22=0,"",P23*(1+'B. Basisdaten'!$G$4))</f>
        <v/>
      </c>
      <c r="R23" s="137" t="n">
        <f aca="false">(SUMPRODUCT(H23:Q23,$H$21:$Q$21)/SUM($H$21:$Q$21))/'B. Basisdaten'!$G$20</f>
        <v>64.7001840898761</v>
      </c>
      <c r="S23" s="138" t="n">
        <f aca="false">R23*($C$7)</f>
        <v>1.29400368179752</v>
      </c>
      <c r="T23" s="139" t="n">
        <f aca="false">R23+S23</f>
        <v>65.9941877716736</v>
      </c>
      <c r="U23" s="138" t="n">
        <f aca="false">(R23+S23)*$C$9</f>
        <v>16.0761841411797</v>
      </c>
      <c r="V23" s="139" t="n">
        <f aca="false">T23+U23</f>
        <v>82.0703719128533</v>
      </c>
      <c r="W23" s="138" t="n">
        <f aca="false">(R23+S23+U23)/(1-$C$11-$C$13-$C$14)*$C$11</f>
        <v>9.22684654641546</v>
      </c>
      <c r="X23" s="139" t="n">
        <f aca="false">V23+W23</f>
        <v>91.2972184592688</v>
      </c>
      <c r="Y23" s="138" t="n">
        <f aca="false">(V23)/(1-$C$11-$C$13-$C$14)*($C$13+$C$14)</f>
        <v>5.82748202931503</v>
      </c>
      <c r="Z23" s="139" t="n">
        <f aca="false">X23+Y23</f>
        <v>97.1247004885838</v>
      </c>
      <c r="AA23" s="138" t="n">
        <f aca="false">(Z23/(1-$C$16))-Z23</f>
        <v>6.19944896735642</v>
      </c>
      <c r="AB23" s="137" t="n">
        <f aca="false">SUM(Z23)/(1-$C$16)</f>
        <v>103.32414945594</v>
      </c>
      <c r="AC23" s="140" t="n">
        <f aca="false">AB23*$C$18</f>
        <v>20.6648298911881</v>
      </c>
      <c r="AD23" s="137" t="n">
        <f aca="false">AC23+AB23</f>
        <v>123.988979347128</v>
      </c>
      <c r="AF23" s="141" t="n">
        <f aca="false">'B. Basisdaten'!$G$20*F23</f>
        <v>1622.4</v>
      </c>
      <c r="AG23" s="142" t="n">
        <f aca="false">AF23*V23</f>
        <v>133150.971391413</v>
      </c>
      <c r="AH23" s="142" t="n">
        <f aca="false">AG23*($I$15/12)</f>
        <v>665754.856957066</v>
      </c>
      <c r="AI23" s="143"/>
      <c r="AJ23" s="143"/>
    </row>
    <row r="24" s="32" customFormat="true" ht="14.25" hidden="false" customHeight="true" outlineLevel="0" collapsed="false">
      <c r="A24" s="128" t="n">
        <v>2</v>
      </c>
      <c r="B24" s="131" t="s">
        <v>128</v>
      </c>
      <c r="C24" s="132" t="n">
        <v>2</v>
      </c>
      <c r="D24" s="133" t="n">
        <v>62000</v>
      </c>
      <c r="E24" s="134" t="n">
        <v>0.125</v>
      </c>
      <c r="F24" s="135" t="n">
        <f aca="false">C24*(1+E24)</f>
        <v>2.25</v>
      </c>
      <c r="H24" s="136" t="n">
        <f aca="false">D24</f>
        <v>62000</v>
      </c>
      <c r="I24" s="136" t="n">
        <f aca="false">IF(I$22=0,"",H24*(1+'B. Basisdaten'!$G$4))</f>
        <v>63860</v>
      </c>
      <c r="J24" s="136" t="n">
        <f aca="false">IF(J$22=0,"",I24*(1+'B. Basisdaten'!$G$4))</f>
        <v>65775.8</v>
      </c>
      <c r="K24" s="136" t="n">
        <f aca="false">IF(K$22=0,"",J24*(1+'B. Basisdaten'!$G$4))</f>
        <v>67749.074</v>
      </c>
      <c r="L24" s="136" t="n">
        <f aca="false">IF(L$22=0,"",K24*(1+'B. Basisdaten'!$G$4))</f>
        <v>69781.54622</v>
      </c>
      <c r="M24" s="136" t="n">
        <f aca="false">IF(M$22=0,"",L24*(1+'B. Basisdaten'!$G$4))</f>
        <v>71874.9926066</v>
      </c>
      <c r="N24" s="136" t="str">
        <f aca="false">IF(N$22=0,"",M24*(1+'B. Basisdaten'!$G$4))</f>
        <v/>
      </c>
      <c r="O24" s="136" t="str">
        <f aca="false">IF(O$22=0,"",N24*(1+'B. Basisdaten'!$G$4))</f>
        <v/>
      </c>
      <c r="P24" s="136" t="str">
        <f aca="false">IF(P$22=0,"",O24*(1+'B. Basisdaten'!$G$4))</f>
        <v/>
      </c>
      <c r="Q24" s="136" t="str">
        <f aca="false">IF(Q$22=0,"",P24*(1+'B. Basisdaten'!$G$4))</f>
        <v/>
      </c>
      <c r="R24" s="137" t="n">
        <f aca="false">(SUMPRODUCT(H24:Q24,$H$21:$Q$21)/SUM($H$21:$Q$21))/'B. Basisdaten'!$G$20</f>
        <v>40.9327695262482</v>
      </c>
      <c r="S24" s="138" t="n">
        <f aca="false">R24*($C$7)</f>
        <v>0.818655390524963</v>
      </c>
      <c r="T24" s="139" t="n">
        <f aca="false">R24+S24</f>
        <v>41.7514249167731</v>
      </c>
      <c r="U24" s="138" t="n">
        <f aca="false">(R24+S24)*$C$9</f>
        <v>10.1706471097259</v>
      </c>
      <c r="V24" s="139" t="n">
        <f aca="false">T24+U24</f>
        <v>51.922072026499</v>
      </c>
      <c r="W24" s="138" t="n">
        <f aca="false">(R24+S24+U24)/(1-$C$11-$C$13-$C$14)*$C$11</f>
        <v>5.83739271303835</v>
      </c>
      <c r="X24" s="139" t="n">
        <f aca="false">V24+W24</f>
        <v>57.7594647395374</v>
      </c>
      <c r="Y24" s="138" t="n">
        <f aca="false">(V24)/(1-$C$11-$C$13-$C$14)*($C$13+$C$14)</f>
        <v>3.68677434507686</v>
      </c>
      <c r="Z24" s="139" t="n">
        <f aca="false">X24+Y24</f>
        <v>61.4462390846143</v>
      </c>
      <c r="AA24" s="138" t="n">
        <f aca="false">(Z24/(1-$C$16))-Z24</f>
        <v>3.92210036710304</v>
      </c>
      <c r="AB24" s="137" t="n">
        <f aca="false">SUM(Z24)/(1-$C$16)</f>
        <v>65.3683394517173</v>
      </c>
      <c r="AC24" s="140" t="n">
        <f aca="false">AB24*$C$18</f>
        <v>13.0736678903435</v>
      </c>
      <c r="AD24" s="137" t="n">
        <f aca="false">AC24+AB24</f>
        <v>78.4420073420608</v>
      </c>
      <c r="AF24" s="141" t="n">
        <f aca="false">'B. Basisdaten'!$G$20*F24</f>
        <v>3650.4</v>
      </c>
      <c r="AG24" s="142" t="n">
        <f aca="false">AF24*V24</f>
        <v>189536.331725532</v>
      </c>
      <c r="AH24" s="142" t="n">
        <f aca="false">AG24*($I$15/12)</f>
        <v>947681.65862766</v>
      </c>
      <c r="AI24" s="143"/>
      <c r="AJ24" s="143"/>
    </row>
    <row r="25" s="32" customFormat="true" ht="14.25" hidden="false" customHeight="true" outlineLevel="0" collapsed="false">
      <c r="A25" s="130" t="n">
        <v>3</v>
      </c>
      <c r="B25" s="131" t="s">
        <v>129</v>
      </c>
      <c r="C25" s="132" t="n">
        <v>1.5</v>
      </c>
      <c r="D25" s="133" t="n">
        <v>52000</v>
      </c>
      <c r="E25" s="134" t="n">
        <v>0.1</v>
      </c>
      <c r="F25" s="135" t="n">
        <f aca="false">C25*(1+E25)</f>
        <v>1.65</v>
      </c>
      <c r="H25" s="136" t="n">
        <f aca="false">D25</f>
        <v>52000</v>
      </c>
      <c r="I25" s="136" t="n">
        <f aca="false">IF(I$22=0,"",H25*(1+'B. Basisdaten'!$G$4))</f>
        <v>53560</v>
      </c>
      <c r="J25" s="136" t="n">
        <f aca="false">IF(J$22=0,"",I25*(1+'B. Basisdaten'!$G$4))</f>
        <v>55166.8</v>
      </c>
      <c r="K25" s="136" t="n">
        <f aca="false">IF(K$22=0,"",J25*(1+'B. Basisdaten'!$G$4))</f>
        <v>56821.804</v>
      </c>
      <c r="L25" s="136" t="n">
        <f aca="false">IF(L$22=0,"",K25*(1+'B. Basisdaten'!$G$4))</f>
        <v>58526.45812</v>
      </c>
      <c r="M25" s="136" t="n">
        <f aca="false">IF(M$22=0,"",L25*(1+'B. Basisdaten'!$G$4))</f>
        <v>60282.2518636</v>
      </c>
      <c r="N25" s="136" t="str">
        <f aca="false">IF(N$22=0,"",M25*(1+'B. Basisdaten'!$G$4))</f>
        <v/>
      </c>
      <c r="O25" s="136" t="str">
        <f aca="false">IF(O$22=0,"",N25*(1+'B. Basisdaten'!$G$4))</f>
        <v/>
      </c>
      <c r="P25" s="136" t="str">
        <f aca="false">IF(P$22=0,"",O25*(1+'B. Basisdaten'!$G$4))</f>
        <v/>
      </c>
      <c r="Q25" s="136" t="str">
        <f aca="false">IF(Q$22=0,"",P25*(1+'B. Basisdaten'!$G$4))</f>
        <v/>
      </c>
      <c r="R25" s="137" t="n">
        <f aca="false">(SUMPRODUCT(H25:Q25,$H$21:$Q$21)/SUM($H$21:$Q$21))/'B. Basisdaten'!$G$20</f>
        <v>34.3307099252404</v>
      </c>
      <c r="S25" s="138" t="n">
        <f aca="false">R25*($C$7)</f>
        <v>0.686614198504808</v>
      </c>
      <c r="T25" s="139" t="n">
        <f aca="false">R25+S25</f>
        <v>35.0173241237452</v>
      </c>
      <c r="U25" s="138" t="n">
        <f aca="false">(R25+S25)*$C$9</f>
        <v>8.53022015654433</v>
      </c>
      <c r="V25" s="139" t="n">
        <f aca="false">T25+U25</f>
        <v>43.5475442802895</v>
      </c>
      <c r="W25" s="138" t="n">
        <f aca="false">(R25+S25+U25)/(1-$C$11-$C$13-$C$14)*$C$11</f>
        <v>4.89587775932249</v>
      </c>
      <c r="X25" s="139" t="n">
        <f aca="false">V25+W25</f>
        <v>48.443422039612</v>
      </c>
      <c r="Y25" s="138" t="n">
        <f aca="false">(V25)/(1-$C$11-$C$13-$C$14)*($C$13+$C$14)</f>
        <v>3.09213332167736</v>
      </c>
      <c r="Z25" s="139" t="n">
        <f aca="false">X25+Y25</f>
        <v>51.5355553612894</v>
      </c>
      <c r="AA25" s="138" t="n">
        <f aca="false">(Z25/(1-$C$16))-Z25</f>
        <v>3.28950353369932</v>
      </c>
      <c r="AB25" s="137" t="n">
        <f aca="false">SUM(Z25)/(1-$C$16)</f>
        <v>54.8250588949887</v>
      </c>
      <c r="AC25" s="140" t="n">
        <f aca="false">AB25*$C$18</f>
        <v>10.9650117789977</v>
      </c>
      <c r="AD25" s="137" t="n">
        <f aca="false">AC25+AB25</f>
        <v>65.7900706739865</v>
      </c>
      <c r="AF25" s="141" t="n">
        <f aca="false">'B. Basisdaten'!$G$20*F25</f>
        <v>2676.96</v>
      </c>
      <c r="AG25" s="142" t="n">
        <f aca="false">AF25*V25</f>
        <v>116575.034136564</v>
      </c>
      <c r="AH25" s="142" t="n">
        <f aca="false">AG25*($I$15/12)</f>
        <v>582875.170682819</v>
      </c>
      <c r="AI25" s="143"/>
      <c r="AJ25" s="143"/>
    </row>
    <row r="26" s="32" customFormat="true" ht="14.25" hidden="false" customHeight="true" outlineLevel="0" collapsed="false">
      <c r="A26" s="128" t="n">
        <v>4</v>
      </c>
      <c r="B26" s="131"/>
      <c r="C26" s="132"/>
      <c r="D26" s="133"/>
      <c r="E26" s="134"/>
      <c r="F26" s="135" t="n">
        <f aca="false">C26*(1+E26)</f>
        <v>0</v>
      </c>
      <c r="H26" s="136" t="n">
        <f aca="false">D26</f>
        <v>0</v>
      </c>
      <c r="I26" s="136" t="n">
        <f aca="false">IF(I$22=0,"",H26*(1+'B. Basisdaten'!$G$4))</f>
        <v>0</v>
      </c>
      <c r="J26" s="136" t="n">
        <f aca="false">IF(J$22=0,"",I26*(1+'B. Basisdaten'!$G$4))</f>
        <v>0</v>
      </c>
      <c r="K26" s="136" t="n">
        <f aca="false">IF(K$22=0,"",J26*(1+'B. Basisdaten'!$G$4))</f>
        <v>0</v>
      </c>
      <c r="L26" s="136" t="n">
        <f aca="false">IF(L$22=0,"",K26*(1+'B. Basisdaten'!$G$4))</f>
        <v>0</v>
      </c>
      <c r="M26" s="136" t="n">
        <f aca="false">IF(M$22=0,"",L26*(1+'B. Basisdaten'!$G$4))</f>
        <v>0</v>
      </c>
      <c r="N26" s="136" t="str">
        <f aca="false">IF(N$22=0,"",M26*(1+'B. Basisdaten'!$G$4))</f>
        <v/>
      </c>
      <c r="O26" s="136" t="str">
        <f aca="false">IF(O$22=0,"",N26*(1+'B. Basisdaten'!$G$4))</f>
        <v/>
      </c>
      <c r="P26" s="136" t="str">
        <f aca="false">IF(P$22=0,"",O26*(1+'B. Basisdaten'!$G$4))</f>
        <v/>
      </c>
      <c r="Q26" s="136" t="str">
        <f aca="false">IF(Q$22=0,"",P26*(1+'B. Basisdaten'!$G$4))</f>
        <v/>
      </c>
      <c r="R26" s="137" t="n">
        <f aca="false">(SUMPRODUCT(H26:Q26,$H$21:$Q$21)/SUM($H$21:$Q$21))/'B. Basisdaten'!$G$20</f>
        <v>0</v>
      </c>
      <c r="S26" s="138" t="n">
        <f aca="false">R26*($C$7)</f>
        <v>0</v>
      </c>
      <c r="T26" s="139" t="n">
        <f aca="false">R26+S26</f>
        <v>0</v>
      </c>
      <c r="U26" s="138" t="n">
        <f aca="false">(R26+S26)*$C$9</f>
        <v>0</v>
      </c>
      <c r="V26" s="139" t="n">
        <f aca="false">T26+U26</f>
        <v>0</v>
      </c>
      <c r="W26" s="138" t="n">
        <f aca="false">(R26+S26+U26)/(1-$C$11-$C$13-$C$14)*$C$11</f>
        <v>0</v>
      </c>
      <c r="X26" s="139" t="n">
        <f aca="false">V26+W26</f>
        <v>0</v>
      </c>
      <c r="Y26" s="138" t="n">
        <f aca="false">(V26)/(1-$C$11-$C$13-$C$14)*($C$13+$C$14)</f>
        <v>0</v>
      </c>
      <c r="Z26" s="139" t="n">
        <f aca="false">X26+Y26</f>
        <v>0</v>
      </c>
      <c r="AA26" s="138" t="n">
        <f aca="false">(Z26/(1-$C$16))-Z26</f>
        <v>0</v>
      </c>
      <c r="AB26" s="137" t="n">
        <f aca="false">SUM(Z26)/(1-$C$16)</f>
        <v>0</v>
      </c>
      <c r="AC26" s="140" t="n">
        <f aca="false">AB26*$C$18</f>
        <v>0</v>
      </c>
      <c r="AD26" s="137" t="n">
        <f aca="false">AC26+AB26</f>
        <v>0</v>
      </c>
      <c r="AF26" s="141" t="n">
        <f aca="false">'B. Basisdaten'!$G$20*F26</f>
        <v>0</v>
      </c>
      <c r="AG26" s="142" t="n">
        <f aca="false">AF26*V26</f>
        <v>0</v>
      </c>
      <c r="AH26" s="142" t="n">
        <f aca="false">AG26*($I$15/12)</f>
        <v>0</v>
      </c>
      <c r="AI26" s="143"/>
      <c r="AJ26" s="143"/>
    </row>
    <row r="27" s="32" customFormat="true" ht="14.25" hidden="false" customHeight="true" outlineLevel="0" collapsed="false">
      <c r="A27" s="130" t="n">
        <v>5</v>
      </c>
      <c r="B27" s="131"/>
      <c r="C27" s="132"/>
      <c r="D27" s="133"/>
      <c r="E27" s="134"/>
      <c r="F27" s="135" t="n">
        <f aca="false">C27*(1+E27)</f>
        <v>0</v>
      </c>
      <c r="H27" s="136" t="n">
        <f aca="false">D27</f>
        <v>0</v>
      </c>
      <c r="I27" s="136" t="n">
        <f aca="false">IF(I$22=0,"",H27*(1+'B. Basisdaten'!$G$4))</f>
        <v>0</v>
      </c>
      <c r="J27" s="136" t="n">
        <f aca="false">IF(J$22=0,"",I27*(1+'B. Basisdaten'!$G$4))</f>
        <v>0</v>
      </c>
      <c r="K27" s="136" t="n">
        <f aca="false">IF(K$22=0,"",J27*(1+'B. Basisdaten'!$G$4))</f>
        <v>0</v>
      </c>
      <c r="L27" s="136" t="n">
        <f aca="false">IF(L$22=0,"",K27*(1+'B. Basisdaten'!$G$4))</f>
        <v>0</v>
      </c>
      <c r="M27" s="136" t="n">
        <f aca="false">IF(M$22=0,"",L27*(1+'B. Basisdaten'!$G$4))</f>
        <v>0</v>
      </c>
      <c r="N27" s="136" t="str">
        <f aca="false">IF(N$22=0,"",M27*(1+'B. Basisdaten'!$G$4))</f>
        <v/>
      </c>
      <c r="O27" s="136" t="str">
        <f aca="false">IF(O$22=0,"",N27*(1+'B. Basisdaten'!$G$4))</f>
        <v/>
      </c>
      <c r="P27" s="136" t="str">
        <f aca="false">IF(P$22=0,"",O27*(1+'B. Basisdaten'!$G$4))</f>
        <v/>
      </c>
      <c r="Q27" s="136" t="str">
        <f aca="false">IF(Q$22=0,"",P27*(1+'B. Basisdaten'!$G$4))</f>
        <v/>
      </c>
      <c r="R27" s="137" t="n">
        <f aca="false">(SUMPRODUCT(H27:Q27,$H$21:$Q$21)/SUM($H$21:$Q$21))/'B. Basisdaten'!$G$20</f>
        <v>0</v>
      </c>
      <c r="S27" s="138" t="n">
        <f aca="false">R27*($C$7)</f>
        <v>0</v>
      </c>
      <c r="T27" s="139" t="n">
        <f aca="false">R27+S27</f>
        <v>0</v>
      </c>
      <c r="U27" s="138" t="n">
        <f aca="false">(R27+S27)*$C$9</f>
        <v>0</v>
      </c>
      <c r="V27" s="139" t="n">
        <f aca="false">T27+U27</f>
        <v>0</v>
      </c>
      <c r="W27" s="138" t="n">
        <f aca="false">(R27+S27+U27)/(1-$C$11-$C$13-$C$14)*$C$11</f>
        <v>0</v>
      </c>
      <c r="X27" s="139" t="n">
        <f aca="false">V27+W27</f>
        <v>0</v>
      </c>
      <c r="Y27" s="138" t="n">
        <f aca="false">(V27)/(1-$C$11-$C$13-$C$14)*($C$13+$C$14)</f>
        <v>0</v>
      </c>
      <c r="Z27" s="139" t="n">
        <f aca="false">X27+Y27</f>
        <v>0</v>
      </c>
      <c r="AA27" s="138" t="n">
        <f aca="false">(Z27/(1-$C$16))-Z27</f>
        <v>0</v>
      </c>
      <c r="AB27" s="137" t="n">
        <f aca="false">SUM(Z27)/(1-$C$16)</f>
        <v>0</v>
      </c>
      <c r="AC27" s="140" t="n">
        <f aca="false">AB27*$C$18</f>
        <v>0</v>
      </c>
      <c r="AD27" s="137" t="n">
        <f aca="false">AC27+AB27</f>
        <v>0</v>
      </c>
      <c r="AF27" s="141" t="n">
        <f aca="false">'B. Basisdaten'!$G$20*F27</f>
        <v>0</v>
      </c>
      <c r="AG27" s="142" t="n">
        <f aca="false">AF27*V27</f>
        <v>0</v>
      </c>
      <c r="AH27" s="142" t="n">
        <f aca="false">AG27*($I$15/12)</f>
        <v>0</v>
      </c>
      <c r="AI27" s="143"/>
      <c r="AJ27" s="143"/>
    </row>
    <row r="28" s="32" customFormat="true" ht="14.25" hidden="false" customHeight="true" outlineLevel="0" collapsed="false">
      <c r="A28" s="128" t="n">
        <v>6</v>
      </c>
      <c r="B28" s="131"/>
      <c r="C28" s="132"/>
      <c r="D28" s="133"/>
      <c r="E28" s="134"/>
      <c r="F28" s="135" t="n">
        <f aca="false">C28*(1+E28)</f>
        <v>0</v>
      </c>
      <c r="H28" s="136" t="n">
        <f aca="false">D28</f>
        <v>0</v>
      </c>
      <c r="I28" s="136" t="n">
        <f aca="false">IF(I$22=0,"",H28*(1+'B. Basisdaten'!$G$4))</f>
        <v>0</v>
      </c>
      <c r="J28" s="136" t="n">
        <f aca="false">IF(J$22=0,"",I28*(1+'B. Basisdaten'!$G$4))</f>
        <v>0</v>
      </c>
      <c r="K28" s="136" t="n">
        <f aca="false">IF(K$22=0,"",J28*(1+'B. Basisdaten'!$G$4))</f>
        <v>0</v>
      </c>
      <c r="L28" s="136" t="n">
        <f aca="false">IF(L$22=0,"",K28*(1+'B. Basisdaten'!$G$4))</f>
        <v>0</v>
      </c>
      <c r="M28" s="136" t="n">
        <f aca="false">IF(M$22=0,"",L28*(1+'B. Basisdaten'!$G$4))</f>
        <v>0</v>
      </c>
      <c r="N28" s="136" t="str">
        <f aca="false">IF(N$22=0,"",M28*(1+'B. Basisdaten'!$G$4))</f>
        <v/>
      </c>
      <c r="O28" s="136" t="str">
        <f aca="false">IF(O$22=0,"",N28*(1+'B. Basisdaten'!$G$4))</f>
        <v/>
      </c>
      <c r="P28" s="136" t="str">
        <f aca="false">IF(P$22=0,"",O28*(1+'B. Basisdaten'!$G$4))</f>
        <v/>
      </c>
      <c r="Q28" s="136" t="str">
        <f aca="false">IF(Q$22=0,"",P28*(1+'B. Basisdaten'!$G$4))</f>
        <v/>
      </c>
      <c r="R28" s="137" t="n">
        <f aca="false">(SUMPRODUCT(H28:Q28,$H$21:$Q$21)/SUM($H$21:$Q$21))/'B. Basisdaten'!$G$20</f>
        <v>0</v>
      </c>
      <c r="S28" s="138" t="n">
        <f aca="false">R28*($C$7)</f>
        <v>0</v>
      </c>
      <c r="T28" s="139" t="n">
        <f aca="false">R28+S28</f>
        <v>0</v>
      </c>
      <c r="U28" s="138" t="n">
        <f aca="false">(R28+S28)*$C$9</f>
        <v>0</v>
      </c>
      <c r="V28" s="139" t="n">
        <f aca="false">T28+U28</f>
        <v>0</v>
      </c>
      <c r="W28" s="138" t="n">
        <f aca="false">(R28+S28+U28)/(1-$C$11-$C$13-$C$14)*$C$11</f>
        <v>0</v>
      </c>
      <c r="X28" s="139" t="n">
        <f aca="false">V28+W28</f>
        <v>0</v>
      </c>
      <c r="Y28" s="138" t="n">
        <f aca="false">(V28)/(1-$C$11-$C$13-$C$14)*($C$13+$C$14)</f>
        <v>0</v>
      </c>
      <c r="Z28" s="139" t="n">
        <f aca="false">X28+Y28</f>
        <v>0</v>
      </c>
      <c r="AA28" s="138" t="n">
        <f aca="false">(Z28/(1-$C$16))-Z28</f>
        <v>0</v>
      </c>
      <c r="AB28" s="137" t="n">
        <f aca="false">SUM(Z28)/(1-$C$16)</f>
        <v>0</v>
      </c>
      <c r="AC28" s="140" t="n">
        <f aca="false">AB28*$C$18</f>
        <v>0</v>
      </c>
      <c r="AD28" s="137" t="n">
        <f aca="false">AC28+AB28</f>
        <v>0</v>
      </c>
      <c r="AF28" s="141" t="n">
        <f aca="false">'B. Basisdaten'!$G$20*F28</f>
        <v>0</v>
      </c>
      <c r="AG28" s="142" t="n">
        <f aca="false">AF28*V28</f>
        <v>0</v>
      </c>
      <c r="AH28" s="142" t="n">
        <f aca="false">AG28*($I$15/12)</f>
        <v>0</v>
      </c>
      <c r="AI28" s="143"/>
      <c r="AJ28" s="143"/>
    </row>
    <row r="29" s="32" customFormat="true" ht="14.25" hidden="false" customHeight="true" outlineLevel="0" collapsed="false">
      <c r="A29" s="130" t="n">
        <v>7</v>
      </c>
      <c r="B29" s="131"/>
      <c r="C29" s="132"/>
      <c r="D29" s="133"/>
      <c r="E29" s="134"/>
      <c r="F29" s="135" t="n">
        <f aca="false">C29*(1+E29)</f>
        <v>0</v>
      </c>
      <c r="H29" s="136" t="n">
        <f aca="false">D29</f>
        <v>0</v>
      </c>
      <c r="I29" s="136" t="n">
        <f aca="false">IF(I$22=0,"",H29*(1+'B. Basisdaten'!$G$4))</f>
        <v>0</v>
      </c>
      <c r="J29" s="136" t="n">
        <f aca="false">IF(J$22=0,"",I29*(1+'B. Basisdaten'!$G$4))</f>
        <v>0</v>
      </c>
      <c r="K29" s="136" t="n">
        <f aca="false">IF(K$22=0,"",J29*(1+'B. Basisdaten'!$G$4))</f>
        <v>0</v>
      </c>
      <c r="L29" s="136" t="n">
        <f aca="false">IF(L$22=0,"",K29*(1+'B. Basisdaten'!$G$4))</f>
        <v>0</v>
      </c>
      <c r="M29" s="136" t="n">
        <f aca="false">IF(M$22=0,"",L29*(1+'B. Basisdaten'!$G$4))</f>
        <v>0</v>
      </c>
      <c r="N29" s="136" t="str">
        <f aca="false">IF(N$22=0,"",M29*(1+'B. Basisdaten'!$G$4))</f>
        <v/>
      </c>
      <c r="O29" s="136" t="str">
        <f aca="false">IF(O$22=0,"",N29*(1+'B. Basisdaten'!$G$4))</f>
        <v/>
      </c>
      <c r="P29" s="136" t="str">
        <f aca="false">IF(P$22=0,"",O29*(1+'B. Basisdaten'!$G$4))</f>
        <v/>
      </c>
      <c r="Q29" s="136" t="str">
        <f aca="false">IF(Q$22=0,"",P29*(1+'B. Basisdaten'!$G$4))</f>
        <v/>
      </c>
      <c r="R29" s="137" t="n">
        <f aca="false">(SUMPRODUCT(H29:Q29,$H$21:$Q$21)/SUM($H$21:$Q$21))/'B. Basisdaten'!$G$20</f>
        <v>0</v>
      </c>
      <c r="S29" s="138" t="n">
        <f aca="false">R29*($C$7)</f>
        <v>0</v>
      </c>
      <c r="T29" s="139" t="n">
        <f aca="false">R29+S29</f>
        <v>0</v>
      </c>
      <c r="U29" s="138" t="n">
        <f aca="false">(R29+S29)*$C$9</f>
        <v>0</v>
      </c>
      <c r="V29" s="139" t="n">
        <f aca="false">T29+U29</f>
        <v>0</v>
      </c>
      <c r="W29" s="138" t="n">
        <f aca="false">(R29+S29+U29)/(1-$C$11-$C$13-$C$14)*$C$11</f>
        <v>0</v>
      </c>
      <c r="X29" s="139" t="n">
        <f aca="false">V29+W29</f>
        <v>0</v>
      </c>
      <c r="Y29" s="138" t="n">
        <f aca="false">(V29)/(1-$C$11-$C$13-$C$14)*($C$13+$C$14)</f>
        <v>0</v>
      </c>
      <c r="Z29" s="139" t="n">
        <f aca="false">X29+Y29</f>
        <v>0</v>
      </c>
      <c r="AA29" s="138" t="n">
        <f aca="false">(Z29/(1-$C$16))-Z29</f>
        <v>0</v>
      </c>
      <c r="AB29" s="137" t="n">
        <f aca="false">SUM(Z29)/(1-$C$16)</f>
        <v>0</v>
      </c>
      <c r="AC29" s="140" t="n">
        <f aca="false">AB29*$C$18</f>
        <v>0</v>
      </c>
      <c r="AD29" s="137" t="n">
        <f aca="false">AC29+AB29</f>
        <v>0</v>
      </c>
      <c r="AF29" s="141" t="n">
        <f aca="false">'B. Basisdaten'!$G$20*F29</f>
        <v>0</v>
      </c>
      <c r="AG29" s="142" t="n">
        <f aca="false">AF29*V29</f>
        <v>0</v>
      </c>
      <c r="AH29" s="142" t="n">
        <f aca="false">AG29*($I$15/12)</f>
        <v>0</v>
      </c>
      <c r="AI29" s="143"/>
      <c r="AJ29" s="143"/>
    </row>
    <row r="30" s="32" customFormat="true" ht="14.25" hidden="false" customHeight="true" outlineLevel="0" collapsed="false">
      <c r="A30" s="128" t="n">
        <v>8</v>
      </c>
      <c r="B30" s="131"/>
      <c r="C30" s="132"/>
      <c r="D30" s="133"/>
      <c r="E30" s="134"/>
      <c r="F30" s="135" t="n">
        <f aca="false">C30*(1+E30)</f>
        <v>0</v>
      </c>
      <c r="H30" s="136" t="n">
        <f aca="false">D30</f>
        <v>0</v>
      </c>
      <c r="I30" s="136" t="n">
        <f aca="false">IF(I$22=0,"",H30*(1+'B. Basisdaten'!$G$4))</f>
        <v>0</v>
      </c>
      <c r="J30" s="136" t="n">
        <f aca="false">IF(J$22=0,"",I30*(1+'B. Basisdaten'!$G$4))</f>
        <v>0</v>
      </c>
      <c r="K30" s="136" t="n">
        <f aca="false">IF(K$22=0,"",J30*(1+'B. Basisdaten'!$G$4))</f>
        <v>0</v>
      </c>
      <c r="L30" s="136" t="n">
        <f aca="false">IF(L$22=0,"",K30*(1+'B. Basisdaten'!$G$4))</f>
        <v>0</v>
      </c>
      <c r="M30" s="136" t="n">
        <f aca="false">IF(M$22=0,"",L30*(1+'B. Basisdaten'!$G$4))</f>
        <v>0</v>
      </c>
      <c r="N30" s="136" t="str">
        <f aca="false">IF(N$22=0,"",M30*(1+'B. Basisdaten'!$G$4))</f>
        <v/>
      </c>
      <c r="O30" s="136" t="str">
        <f aca="false">IF(O$22=0,"",N30*(1+'B. Basisdaten'!$G$4))</f>
        <v/>
      </c>
      <c r="P30" s="136" t="str">
        <f aca="false">IF(P$22=0,"",O30*(1+'B. Basisdaten'!$G$4))</f>
        <v/>
      </c>
      <c r="Q30" s="136" t="str">
        <f aca="false">IF(Q$22=0,"",P30*(1+'B. Basisdaten'!$G$4))</f>
        <v/>
      </c>
      <c r="R30" s="137" t="n">
        <f aca="false">(SUMPRODUCT(H30:Q30,$H$21:$Q$21)/SUM($H$21:$Q$21))/'B. Basisdaten'!$G$20</f>
        <v>0</v>
      </c>
      <c r="S30" s="138" t="n">
        <f aca="false">R30*($C$7)</f>
        <v>0</v>
      </c>
      <c r="T30" s="139" t="n">
        <f aca="false">R30+S30</f>
        <v>0</v>
      </c>
      <c r="U30" s="138" t="n">
        <f aca="false">(R30+S30)*$C$9</f>
        <v>0</v>
      </c>
      <c r="V30" s="139" t="n">
        <f aca="false">T30+U30</f>
        <v>0</v>
      </c>
      <c r="W30" s="138" t="n">
        <f aca="false">(R30+S30+U30)/(1-$C$11-$C$13-$C$14)*$C$11</f>
        <v>0</v>
      </c>
      <c r="X30" s="139" t="n">
        <f aca="false">V30+W30</f>
        <v>0</v>
      </c>
      <c r="Y30" s="138" t="n">
        <f aca="false">(V30)/(1-$C$11-$C$13-$C$14)*($C$13+$C$14)</f>
        <v>0</v>
      </c>
      <c r="Z30" s="139" t="n">
        <f aca="false">X30+Y30</f>
        <v>0</v>
      </c>
      <c r="AA30" s="138" t="n">
        <f aca="false">(Z30/(1-$C$16))-Z30</f>
        <v>0</v>
      </c>
      <c r="AB30" s="137" t="n">
        <f aca="false">SUM(Z30)/(1-$C$16)</f>
        <v>0</v>
      </c>
      <c r="AC30" s="140" t="n">
        <f aca="false">AB30*$C$18</f>
        <v>0</v>
      </c>
      <c r="AD30" s="137" t="n">
        <f aca="false">AC30+AB30</f>
        <v>0</v>
      </c>
      <c r="AF30" s="141" t="n">
        <f aca="false">'B. Basisdaten'!$G$20*F30</f>
        <v>0</v>
      </c>
      <c r="AG30" s="142" t="n">
        <f aca="false">AF30*V30</f>
        <v>0</v>
      </c>
      <c r="AH30" s="142" t="n">
        <f aca="false">AG30*($I$15/12)</f>
        <v>0</v>
      </c>
      <c r="AI30" s="143"/>
      <c r="AJ30" s="143"/>
    </row>
    <row r="31" s="32" customFormat="true" ht="14.25" hidden="false" customHeight="true" outlineLevel="0" collapsed="false">
      <c r="A31" s="130" t="n">
        <v>9</v>
      </c>
      <c r="B31" s="131"/>
      <c r="C31" s="132"/>
      <c r="D31" s="133"/>
      <c r="E31" s="134"/>
      <c r="F31" s="135" t="n">
        <f aca="false">C31*(1+E31)</f>
        <v>0</v>
      </c>
      <c r="H31" s="136" t="n">
        <f aca="false">D31</f>
        <v>0</v>
      </c>
      <c r="I31" s="136" t="n">
        <f aca="false">IF(I$22=0,"",H31*(1+'B. Basisdaten'!$G$4))</f>
        <v>0</v>
      </c>
      <c r="J31" s="136" t="n">
        <f aca="false">IF(J$22=0,"",I31*(1+'B. Basisdaten'!$G$4))</f>
        <v>0</v>
      </c>
      <c r="K31" s="136" t="n">
        <f aca="false">IF(K$22=0,"",J31*(1+'B. Basisdaten'!$G$4))</f>
        <v>0</v>
      </c>
      <c r="L31" s="136" t="n">
        <f aca="false">IF(L$22=0,"",K31*(1+'B. Basisdaten'!$G$4))</f>
        <v>0</v>
      </c>
      <c r="M31" s="136" t="n">
        <f aca="false">IF(M$22=0,"",L31*(1+'B. Basisdaten'!$G$4))</f>
        <v>0</v>
      </c>
      <c r="N31" s="136" t="str">
        <f aca="false">IF(N$22=0,"",M31*(1+'B. Basisdaten'!$G$4))</f>
        <v/>
      </c>
      <c r="O31" s="136" t="str">
        <f aca="false">IF(O$22=0,"",N31*(1+'B. Basisdaten'!$G$4))</f>
        <v/>
      </c>
      <c r="P31" s="136" t="str">
        <f aca="false">IF(P$22=0,"",O31*(1+'B. Basisdaten'!$G$4))</f>
        <v/>
      </c>
      <c r="Q31" s="136" t="str">
        <f aca="false">IF(Q$22=0,"",P31*(1+'B. Basisdaten'!$G$4))</f>
        <v/>
      </c>
      <c r="R31" s="137" t="n">
        <f aca="false">(SUMPRODUCT(H31:Q31,$H$21:$Q$21)/SUM($H$21:$Q$21))/'B. Basisdaten'!$G$20</f>
        <v>0</v>
      </c>
      <c r="S31" s="138" t="n">
        <f aca="false">R31*($C$7)</f>
        <v>0</v>
      </c>
      <c r="T31" s="139" t="n">
        <f aca="false">R31+S31</f>
        <v>0</v>
      </c>
      <c r="U31" s="138" t="n">
        <f aca="false">(R31+S31)*$C$9</f>
        <v>0</v>
      </c>
      <c r="V31" s="139" t="n">
        <f aca="false">T31+U31</f>
        <v>0</v>
      </c>
      <c r="W31" s="138" t="n">
        <f aca="false">(R31+S31+U31)/(1-$C$11-$C$13-$C$14)*$C$11</f>
        <v>0</v>
      </c>
      <c r="X31" s="139" t="n">
        <f aca="false">V31+W31</f>
        <v>0</v>
      </c>
      <c r="Y31" s="138" t="n">
        <f aca="false">(V31)/(1-$C$11-$C$13-$C$14)*($C$13+$C$14)</f>
        <v>0</v>
      </c>
      <c r="Z31" s="139" t="n">
        <f aca="false">X31+Y31</f>
        <v>0</v>
      </c>
      <c r="AA31" s="138" t="n">
        <f aca="false">(Z31/(1-$C$16))-Z31</f>
        <v>0</v>
      </c>
      <c r="AB31" s="137" t="n">
        <f aca="false">SUM(Z31)/(1-$C$16)</f>
        <v>0</v>
      </c>
      <c r="AC31" s="140" t="n">
        <f aca="false">AB31*$C$18</f>
        <v>0</v>
      </c>
      <c r="AD31" s="137" t="n">
        <f aca="false">AC31+AB31</f>
        <v>0</v>
      </c>
      <c r="AF31" s="141" t="n">
        <f aca="false">'B. Basisdaten'!$G$20*F31</f>
        <v>0</v>
      </c>
      <c r="AG31" s="142" t="n">
        <f aca="false">AF31*V31</f>
        <v>0</v>
      </c>
      <c r="AH31" s="142" t="n">
        <f aca="false">AG31*($I$15/12)</f>
        <v>0</v>
      </c>
      <c r="AI31" s="143"/>
      <c r="AJ31" s="143"/>
    </row>
    <row r="32" s="32" customFormat="true" ht="14.25" hidden="false" customHeight="true" outlineLevel="0" collapsed="false">
      <c r="A32" s="128" t="n">
        <v>10</v>
      </c>
      <c r="B32" s="131"/>
      <c r="C32" s="132"/>
      <c r="D32" s="133"/>
      <c r="E32" s="134"/>
      <c r="F32" s="135" t="n">
        <f aca="false">C32*(1+E32)</f>
        <v>0</v>
      </c>
      <c r="H32" s="136" t="n">
        <f aca="false">D32</f>
        <v>0</v>
      </c>
      <c r="I32" s="136" t="n">
        <f aca="false">IF(I$22=0,"",H32*(1+'B. Basisdaten'!$G$4))</f>
        <v>0</v>
      </c>
      <c r="J32" s="136" t="n">
        <f aca="false">IF(J$22=0,"",I32*(1+'B. Basisdaten'!$G$4))</f>
        <v>0</v>
      </c>
      <c r="K32" s="136" t="n">
        <f aca="false">IF(K$22=0,"",J32*(1+'B. Basisdaten'!$G$4))</f>
        <v>0</v>
      </c>
      <c r="L32" s="136" t="n">
        <f aca="false">IF(L$22=0,"",K32*(1+'B. Basisdaten'!$G$4))</f>
        <v>0</v>
      </c>
      <c r="M32" s="136" t="n">
        <f aca="false">IF(M$22=0,"",L32*(1+'B. Basisdaten'!$G$4))</f>
        <v>0</v>
      </c>
      <c r="N32" s="136" t="str">
        <f aca="false">IF(N$22=0,"",M32*(1+'B. Basisdaten'!$G$4))</f>
        <v/>
      </c>
      <c r="O32" s="136" t="str">
        <f aca="false">IF(O$22=0,"",N32*(1+'B. Basisdaten'!$G$4))</f>
        <v/>
      </c>
      <c r="P32" s="136" t="str">
        <f aca="false">IF(P$22=0,"",O32*(1+'B. Basisdaten'!$G$4))</f>
        <v/>
      </c>
      <c r="Q32" s="136" t="str">
        <f aca="false">IF(Q$22=0,"",P32*(1+'B. Basisdaten'!$G$4))</f>
        <v/>
      </c>
      <c r="R32" s="137" t="n">
        <f aca="false">(SUMPRODUCT(H32:Q32,$H$21:$Q$21)/SUM($H$21:$Q$21))/'B. Basisdaten'!$G$20</f>
        <v>0</v>
      </c>
      <c r="S32" s="138" t="n">
        <f aca="false">R32*($C$7)</f>
        <v>0</v>
      </c>
      <c r="T32" s="139" t="n">
        <f aca="false">R32+S32</f>
        <v>0</v>
      </c>
      <c r="U32" s="138" t="n">
        <f aca="false">(R32+S32)*$C$9</f>
        <v>0</v>
      </c>
      <c r="V32" s="139" t="n">
        <f aca="false">T32+U32</f>
        <v>0</v>
      </c>
      <c r="W32" s="138" t="n">
        <f aca="false">(R32+S32+U32)/(1-$C$11-$C$13-$C$14)*$C$11</f>
        <v>0</v>
      </c>
      <c r="X32" s="139" t="n">
        <f aca="false">V32+W32</f>
        <v>0</v>
      </c>
      <c r="Y32" s="138" t="n">
        <f aca="false">(V32)/(1-$C$11-$C$13-$C$14)*($C$13+$C$14)</f>
        <v>0</v>
      </c>
      <c r="Z32" s="139" t="n">
        <f aca="false">X32+Y32</f>
        <v>0</v>
      </c>
      <c r="AA32" s="138" t="n">
        <f aca="false">(Z32/(1-$C$16))-Z32</f>
        <v>0</v>
      </c>
      <c r="AB32" s="137" t="n">
        <f aca="false">SUM(Z32)/(1-$C$16)</f>
        <v>0</v>
      </c>
      <c r="AC32" s="140" t="n">
        <f aca="false">AB32*$C$18</f>
        <v>0</v>
      </c>
      <c r="AD32" s="137" t="n">
        <f aca="false">AC32+AB32</f>
        <v>0</v>
      </c>
      <c r="AF32" s="141" t="n">
        <f aca="false">'B. Basisdaten'!$G$20*F32</f>
        <v>0</v>
      </c>
      <c r="AG32" s="142" t="n">
        <f aca="false">AF32*V32</f>
        <v>0</v>
      </c>
      <c r="AH32" s="142" t="n">
        <f aca="false">AG32*($I$15/12)</f>
        <v>0</v>
      </c>
      <c r="AI32" s="143"/>
      <c r="AJ32" s="143"/>
    </row>
    <row r="33" customFormat="false" ht="14.25" hidden="false" customHeight="true" outlineLevel="0" collapsed="false">
      <c r="A33" s="125" t="s">
        <v>130</v>
      </c>
      <c r="B33" s="97" t="s">
        <v>59</v>
      </c>
      <c r="C33" s="125" t="n">
        <f aca="false">SUM(C23:C32)</f>
        <v>4.5</v>
      </c>
      <c r="D33" s="144"/>
      <c r="E33" s="145"/>
      <c r="F33" s="146" t="n">
        <f aca="false">SUM(F23:F32)</f>
        <v>4.9</v>
      </c>
      <c r="AF33" s="147" t="n">
        <f aca="false">SUM(AF23:AF32)</f>
        <v>7949.76</v>
      </c>
      <c r="AG33" s="148" t="n">
        <f aca="false">SUM(AG23:AG32)</f>
        <v>439262.337253509</v>
      </c>
      <c r="AH33" s="148" t="n">
        <f aca="false">SUM(AH23:AH32)</f>
        <v>2196311.68626755</v>
      </c>
      <c r="AI33" s="149"/>
      <c r="AJ33" s="149"/>
    </row>
    <row r="35" customFormat="false" ht="13.5" hidden="false" customHeight="false" outlineLevel="0" collapsed="false">
      <c r="AH35" s="150" t="n">
        <v>2382312.87848379</v>
      </c>
    </row>
    <row r="36" customFormat="false" ht="13.5" hidden="false" customHeight="false" outlineLevel="0" collapsed="false">
      <c r="AH36" s="151" t="n">
        <f aca="false">AH33/AH35-1</f>
        <v>-0.0780758874689144</v>
      </c>
    </row>
  </sheetData>
  <mergeCells count="1">
    <mergeCell ref="D13:D14"/>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72D3"/>
    <pageSetUpPr fitToPage="false"/>
  </sheetPr>
  <dimension ref="A1:AK36"/>
  <sheetViews>
    <sheetView showFormulas="false" showGridLines="true" showRowColHeaders="true" showZeros="true" rightToLeft="false" tabSelected="false" showOutlineSymbols="true" defaultGridColor="true" view="normal" topLeftCell="A7" colorId="64" zoomScale="103" zoomScaleNormal="103" zoomScalePageLayoutView="100" workbookViewId="0">
      <selection pane="topLeft" activeCell="AB25" activeCellId="0" sqref="AB25"/>
    </sheetView>
  </sheetViews>
  <sheetFormatPr defaultColWidth="11.5625" defaultRowHeight="14.25" zeroHeight="false" outlineLevelRow="0" outlineLevelCol="1"/>
  <cols>
    <col collapsed="false" customWidth="true" hidden="false" outlineLevel="0" max="1" min="1" style="32" width="4.33"/>
    <col collapsed="false" customWidth="true" hidden="false" outlineLevel="0" max="2" min="2" style="32" width="52.88"/>
    <col collapsed="false" customWidth="true" hidden="false" outlineLevel="0" max="3" min="3" style="32" width="13.88"/>
    <col collapsed="false" customWidth="true" hidden="false" outlineLevel="0" max="4" min="4" style="32" width="15.88"/>
    <col collapsed="false" customWidth="true" hidden="false" outlineLevel="0" max="5" min="5" style="32" width="12.33"/>
    <col collapsed="false" customWidth="true" hidden="false" outlineLevel="0" max="6" min="6" style="32" width="10.56"/>
    <col collapsed="false" customWidth="true" hidden="false" outlineLevel="0" max="7" min="7" style="32" width="3.56"/>
    <col collapsed="false" customWidth="true" hidden="true" outlineLevel="1" max="17" min="8" style="32" width="11.77"/>
    <col collapsed="false" customWidth="true" hidden="false" outlineLevel="0" max="18" min="18" style="32" width="10.21"/>
    <col collapsed="false" customWidth="true" hidden="true" outlineLevel="1" max="19" min="19" style="32" width="10.21"/>
    <col collapsed="false" customWidth="true" hidden="false" outlineLevel="0" max="20" min="20" style="32" width="10.21"/>
    <col collapsed="false" customWidth="true" hidden="true" outlineLevel="1" max="21" min="21" style="32" width="10.21"/>
    <col collapsed="false" customWidth="true" hidden="false" outlineLevel="0" max="22" min="22" style="32" width="10.33"/>
    <col collapsed="false" customWidth="true" hidden="true" outlineLevel="1" max="23" min="23" style="32" width="10.33"/>
    <col collapsed="false" customWidth="true" hidden="false" outlineLevel="0" max="24" min="24" style="32" width="10.21"/>
    <col collapsed="false" customWidth="true" hidden="true" outlineLevel="1" max="25" min="25" style="32" width="10.21"/>
    <col collapsed="false" customWidth="true" hidden="false" outlineLevel="0" max="26" min="26" style="32" width="10.21"/>
    <col collapsed="false" customWidth="true" hidden="true" outlineLevel="1" max="27" min="27" style="32" width="10.21"/>
    <col collapsed="false" customWidth="true" hidden="false" outlineLevel="0" max="28" min="28" style="32" width="10.21"/>
    <col collapsed="false" customWidth="true" hidden="true" outlineLevel="1" max="29" min="29" style="32" width="10.21"/>
    <col collapsed="false" customWidth="true" hidden="false" outlineLevel="0" max="30" min="30" style="32" width="10.21"/>
    <col collapsed="false" customWidth="true" hidden="false" outlineLevel="0" max="31" min="31" style="32" width="3.56"/>
    <col collapsed="false" customWidth="true" hidden="false" outlineLevel="1" max="32" min="32" style="32" width="17.22"/>
    <col collapsed="false" customWidth="true" hidden="false" outlineLevel="1" max="33" min="33" style="32" width="17.56"/>
    <col collapsed="false" customWidth="true" hidden="false" outlineLevel="1" max="34" min="34" style="32" width="20.33"/>
    <col collapsed="false" customWidth="true" hidden="false" outlineLevel="0" max="35" min="35" style="32" width="14.88"/>
    <col collapsed="false" customWidth="true" hidden="false" outlineLevel="0" max="36" min="36" style="32" width="15.44"/>
    <col collapsed="false" customWidth="true" hidden="false" outlineLevel="0" max="37" min="37" style="32" width="15"/>
    <col collapsed="false" customWidth="false" hidden="false" outlineLevel="0" max="16384" min="38" style="32" width="11.56"/>
  </cols>
  <sheetData>
    <row r="1" s="86" customFormat="true" ht="18" hidden="false" customHeight="true" outlineLevel="0" collapsed="false">
      <c r="B1" s="2" t="s">
        <v>131</v>
      </c>
    </row>
    <row r="2" customFormat="false" ht="4.5" hidden="false" customHeight="true" outlineLevel="0" collapsed="false">
      <c r="B2" s="152"/>
      <c r="D2" s="153"/>
      <c r="E2" s="153"/>
      <c r="F2" s="153"/>
      <c r="G2" s="153"/>
      <c r="H2" s="87" t="s">
        <v>86</v>
      </c>
      <c r="I2" s="88"/>
      <c r="J2" s="88"/>
      <c r="N2" s="153"/>
      <c r="O2" s="153"/>
      <c r="P2" s="153"/>
      <c r="Q2" s="153"/>
      <c r="R2" s="153"/>
      <c r="S2" s="154"/>
      <c r="T2" s="155"/>
      <c r="U2" s="155"/>
    </row>
    <row r="3" customFormat="false" ht="14.25" hidden="false" customHeight="false" outlineLevel="0" collapsed="false">
      <c r="A3" s="89" t="s">
        <v>87</v>
      </c>
      <c r="B3" s="90" t="s">
        <v>88</v>
      </c>
      <c r="C3" s="91" t="s">
        <v>89</v>
      </c>
      <c r="D3" s="91" t="s">
        <v>90</v>
      </c>
      <c r="E3" s="153"/>
      <c r="F3" s="153"/>
      <c r="G3" s="153"/>
      <c r="H3" s="87"/>
      <c r="I3" s="88"/>
      <c r="J3" s="88"/>
      <c r="N3" s="153"/>
      <c r="O3" s="153"/>
      <c r="P3" s="153"/>
      <c r="Q3" s="153"/>
      <c r="R3" s="153"/>
      <c r="S3" s="154"/>
      <c r="T3" s="155"/>
      <c r="U3" s="155"/>
    </row>
    <row r="4" customFormat="false" ht="15.65" hidden="false" customHeight="false" outlineLevel="0" collapsed="false">
      <c r="A4" s="92" t="s">
        <v>91</v>
      </c>
      <c r="B4" s="93" t="s">
        <v>132</v>
      </c>
      <c r="C4" s="94" t="s">
        <v>93</v>
      </c>
      <c r="D4" s="95" t="n">
        <f aca="false">'B. Basisdaten'!$G$4</f>
        <v>0.03</v>
      </c>
      <c r="E4" s="88"/>
      <c r="F4" s="88"/>
      <c r="G4" s="88"/>
      <c r="H4" s="96" t="s">
        <v>94</v>
      </c>
      <c r="I4" s="96" t="s">
        <v>95</v>
      </c>
      <c r="J4" s="96" t="s">
        <v>96</v>
      </c>
      <c r="K4" s="156"/>
      <c r="N4" s="88"/>
      <c r="O4" s="88"/>
      <c r="P4" s="88"/>
      <c r="Q4" s="88"/>
      <c r="R4" s="88"/>
      <c r="S4" s="157"/>
    </row>
    <row r="5" customFormat="false" ht="15.65" hidden="false" customHeight="false" outlineLevel="0" collapsed="false">
      <c r="A5" s="97" t="n">
        <v>100</v>
      </c>
      <c r="B5" s="98" t="s">
        <v>133</v>
      </c>
      <c r="C5" s="99" t="n">
        <v>1</v>
      </c>
      <c r="D5" s="100" t="n">
        <v>1</v>
      </c>
      <c r="E5" s="158"/>
      <c r="F5" s="158"/>
      <c r="G5" s="158"/>
      <c r="H5" s="101" t="n">
        <f aca="false">YEAR('A. Start'!$E$3)</f>
        <v>2027</v>
      </c>
      <c r="I5" s="101" t="n">
        <f aca="false">ROUNDDOWN(IF(AND($H5&gt;=YEAR('A. Start'!$E$3),$H5&lt;=YEAR('A. Start'!$E$4),YEAR('A. Start'!E3)&lt;&gt;YEAR('A. Start'!E4)),(DATEDIF(DATE(YEAR('A. Start'!$E$3),MONTH('A. Start'!$E$3),DAY('A. Start'!$E$3)),DATE($H5,12,31),"d")+1)/IF(MOD($H5,4)=0,366,365)*12,IF(YEAR('A. Start'!E3)=YEAR('A. Start'!E4),'A. Start'!E5,0)),1)</f>
        <v>8.5</v>
      </c>
      <c r="J5" s="102" t="n">
        <f aca="false">I5/12</f>
        <v>0.708333333333333</v>
      </c>
      <c r="K5" s="159"/>
      <c r="N5" s="158"/>
      <c r="O5" s="158"/>
      <c r="P5" s="158"/>
      <c r="Q5" s="158"/>
      <c r="R5" s="158"/>
    </row>
    <row r="6" customFormat="false" ht="15.65" hidden="false" customHeight="false" outlineLevel="0" collapsed="false">
      <c r="A6" s="103" t="n">
        <v>101</v>
      </c>
      <c r="B6" s="93" t="s">
        <v>134</v>
      </c>
      <c r="C6" s="107" t="n">
        <f aca="false">SUM('B. Basisdaten'!$G$8,'B. Basisdaten'!$G$11:$G$13)/'B. Basisdaten'!$G$14</f>
        <v>0.254807692307692</v>
      </c>
      <c r="D6" s="105" t="n">
        <f aca="false">D5*($C$6+$C$7)</f>
        <v>0.344807692307692</v>
      </c>
      <c r="E6" s="158"/>
      <c r="F6" s="158"/>
      <c r="G6" s="158"/>
      <c r="H6" s="101" t="n">
        <f aca="false">IF(AND($H5&lt;YEAR('A. Start'!$E$4),$H5&gt;0),$H5+1,IF($H5=YEAR('A. Start'!$E$4),0,IF($H5=0,0,0)))</f>
        <v>2028</v>
      </c>
      <c r="I6" s="101" t="n">
        <f aca="false">ROUNDUP(IF(AND($H6&gt;=YEAR('A. Start'!$E$3),$H6&lt;=YEAR('A. Start'!$E$4)),IF($H6&lt;&gt;YEAR('A. Start'!$E$4),12,(DATEDIF(DATE($H6,1,1),DATE(YEAR('A. Start'!$E$4),MONTH('A. Start'!$E$4),DAY('A. Start'!$E$4)),"d")+1)/IF(MOD($H6,4)=0,366,365)*12)),1)</f>
        <v>12</v>
      </c>
      <c r="J6" s="102" t="n">
        <f aca="false">I6/12</f>
        <v>1</v>
      </c>
      <c r="K6" s="159"/>
      <c r="O6" s="158"/>
      <c r="P6" s="158"/>
      <c r="Q6" s="158"/>
      <c r="R6" s="158"/>
      <c r="S6" s="160"/>
    </row>
    <row r="7" customFormat="false" ht="14.25" hidden="false" customHeight="false" outlineLevel="0" collapsed="false">
      <c r="A7" s="103" t="n">
        <v>102</v>
      </c>
      <c r="B7" s="94" t="s">
        <v>135</v>
      </c>
      <c r="C7" s="104" t="n">
        <f aca="false">'B. Basisdaten'!$L$5+'B. Basisdaten'!$L$6</f>
        <v>0.09</v>
      </c>
      <c r="D7" s="105"/>
      <c r="E7" s="161"/>
      <c r="F7" s="161"/>
      <c r="G7" s="161"/>
      <c r="H7" s="101" t="n">
        <f aca="false">IF(AND($H6&lt;YEAR('A. Start'!$E$4),$H6&gt;0),$H6+1,IF($H6=YEAR('A. Start'!$E$4),0,IF($H6=0,0,0)))</f>
        <v>2029</v>
      </c>
      <c r="I7" s="101" t="n">
        <f aca="false">ROUNDUP(IF(AND($H7&gt;=YEAR('A. Start'!$E$3),$H7&lt;=YEAR('A. Start'!$E$4)),IF($H7&lt;&gt;YEAR('A. Start'!$E$4),12,(DATEDIF(DATE($H7,1,1),DATE(YEAR('A. Start'!$E$4),MONTH('A. Start'!$E$4),DAY('A. Start'!$E$4)),"d")+1)/IF(MOD($H7,4)=0,366,365)*12)),1)</f>
        <v>12</v>
      </c>
      <c r="J7" s="102" t="n">
        <f aca="false">I7/12</f>
        <v>1</v>
      </c>
      <c r="K7" s="159"/>
      <c r="O7" s="161"/>
      <c r="P7" s="161"/>
      <c r="Q7" s="161"/>
      <c r="R7" s="161"/>
    </row>
    <row r="8" customFormat="false" ht="15.65" hidden="false" customHeight="false" outlineLevel="0" collapsed="false">
      <c r="A8" s="97" t="n">
        <v>200</v>
      </c>
      <c r="B8" s="98" t="s">
        <v>136</v>
      </c>
      <c r="C8" s="99" t="n">
        <f aca="false">SUM(C5:C7)</f>
        <v>1.34480769230769</v>
      </c>
      <c r="D8" s="106" t="n">
        <f aca="false">D6+D5</f>
        <v>1.34480769230769</v>
      </c>
      <c r="E8" s="158"/>
      <c r="F8" s="158"/>
      <c r="G8" s="158"/>
      <c r="H8" s="101" t="n">
        <f aca="false">IF(AND($H7&lt;YEAR('A. Start'!$E$4),$H7&gt;0),$H7+1,IF($H7=YEAR('A. Start'!$E$4),0,IF($H7=0,0,0)))</f>
        <v>2030</v>
      </c>
      <c r="I8" s="101" t="n">
        <f aca="false">ROUNDUP(IF(AND($H8&gt;=YEAR('A. Start'!$E$3),$H8&lt;=YEAR('A. Start'!$E$4)),IF($H8&lt;&gt;YEAR('A. Start'!$E$4),12,(DATEDIF(DATE($H8,1,1),DATE(YEAR('A. Start'!$E$4),MONTH('A. Start'!$E$4),DAY('A. Start'!$E$4)),"d")+1)/IF(MOD($H8,4)=0,366,365)*12)),1)</f>
        <v>12</v>
      </c>
      <c r="J8" s="102" t="n">
        <f aca="false">I8/12</f>
        <v>1</v>
      </c>
      <c r="K8" s="159"/>
      <c r="O8" s="158"/>
      <c r="P8" s="158"/>
      <c r="Q8" s="158"/>
      <c r="R8" s="158"/>
    </row>
    <row r="9" customFormat="false" ht="15.65" hidden="false" customHeight="false" outlineLevel="0" collapsed="false">
      <c r="A9" s="103" t="n">
        <v>201</v>
      </c>
      <c r="B9" s="93" t="s">
        <v>101</v>
      </c>
      <c r="C9" s="107" t="n">
        <f aca="false">'B. Basisdaten'!L8</f>
        <v>0.2436</v>
      </c>
      <c r="D9" s="105" t="n">
        <f aca="false">(D5+D6)*$C$9</f>
        <v>0.327595153846154</v>
      </c>
      <c r="E9" s="158"/>
      <c r="F9" s="158"/>
      <c r="G9" s="158"/>
      <c r="H9" s="101" t="n">
        <f aca="false">IF(AND($H8&lt;YEAR('A. Start'!$E$4),$H8&gt;0),$H8+1,IF($H8=YEAR('A. Start'!$E$4),0,IF($H8=0,0,0)))</f>
        <v>2031</v>
      </c>
      <c r="I9" s="101" t="n">
        <f aca="false">ROUNDUP(IF(AND($H9&gt;=YEAR('A. Start'!$E$3),$H9&lt;=YEAR('A. Start'!$E$4)),IF($H9&lt;&gt;YEAR('A. Start'!$E$4),12,(DATEDIF(DATE($H9,1,1),DATE(YEAR('A. Start'!$E$4),MONTH('A. Start'!$E$4),DAY('A. Start'!$E$4)),"d")+1)/IF(MOD($H9,4)=0,366,365)*12)),1)</f>
        <v>12</v>
      </c>
      <c r="J9" s="102" t="n">
        <f aca="false">I9/12</f>
        <v>1</v>
      </c>
      <c r="K9" s="159"/>
      <c r="O9" s="158"/>
      <c r="P9" s="158"/>
      <c r="Q9" s="158"/>
      <c r="R9" s="158"/>
    </row>
    <row r="10" customFormat="false" ht="15.65" hidden="false" customHeight="false" outlineLevel="0" collapsed="false">
      <c r="A10" s="97" t="n">
        <v>300</v>
      </c>
      <c r="B10" s="98" t="s">
        <v>137</v>
      </c>
      <c r="C10" s="99" t="n">
        <f aca="false">C8*(1+C9)</f>
        <v>1.67240284615385</v>
      </c>
      <c r="D10" s="106" t="n">
        <f aca="false">D8+D9</f>
        <v>1.67240284615385</v>
      </c>
      <c r="E10" s="158"/>
      <c r="F10" s="158"/>
      <c r="G10" s="158"/>
      <c r="H10" s="101" t="n">
        <f aca="false">IF(AND($H9&lt;YEAR('A. Start'!$E$4),$H9&gt;0),$H9+1,IF($H9=YEAR('A. Start'!$E$4),0,IF($H9=0,0,0)))</f>
        <v>2032</v>
      </c>
      <c r="I10" s="101" t="n">
        <f aca="false">ROUNDUP(IF(AND($H10&gt;=YEAR('A. Start'!$E$3),$H10&lt;=YEAR('A. Start'!$E$4)),IF($H10&lt;&gt;YEAR('A. Start'!$E$4),12,(DATEDIF(DATE($H10,1,1),DATE(YEAR('A. Start'!$E$4),MONTH('A. Start'!$E$4),DAY('A. Start'!$E$4)),"d")+1)/IF(MOD($H10,4)=0,366,365)*12)),1)</f>
        <v>3.5</v>
      </c>
      <c r="J10" s="102" t="n">
        <f aca="false">I10/12</f>
        <v>0.291666666666667</v>
      </c>
      <c r="K10" s="159"/>
      <c r="O10" s="158"/>
      <c r="P10" s="158"/>
      <c r="Q10" s="158"/>
      <c r="R10" s="158"/>
    </row>
    <row r="11" customFormat="false" ht="29.85" hidden="false" customHeight="false" outlineLevel="0" collapsed="false">
      <c r="A11" s="103" t="n">
        <v>301</v>
      </c>
      <c r="B11" s="93" t="s">
        <v>103</v>
      </c>
      <c r="C11" s="104" t="n">
        <f aca="false">'B. Basisdaten'!$C$11</f>
        <v>0.095</v>
      </c>
      <c r="D11" s="105" t="n">
        <f aca="false">(D10)/(1-$C$11-$C$13-$C$14)*$C$11</f>
        <v>0.188021621756941</v>
      </c>
      <c r="E11" s="158"/>
      <c r="F11" s="158"/>
      <c r="G11" s="158"/>
      <c r="H11" s="101" t="n">
        <f aca="false">IF(AND($H10&lt;YEAR('A. Start'!$E$4),$H10&gt;0),$H10+1,IF($H10=YEAR('A. Start'!$E$4),0,IF($H10=0,0,0)))</f>
        <v>0</v>
      </c>
      <c r="I11" s="101" t="n">
        <f aca="false">ROUNDUP(IF(AND($H11&gt;=YEAR('A. Start'!$E$3),$H11&lt;=YEAR('A. Start'!$E$4)),IF($H11&lt;&gt;YEAR('A. Start'!$E$4),12,(DATEDIF(DATE($H11,1,1),DATE(YEAR('A. Start'!$E$4),MONTH('A. Start'!$E$4),DAY('A. Start'!$E$4)),"d")+1)/IF(MOD($H11,4)=0,366,365)*12)),1)</f>
        <v>0</v>
      </c>
      <c r="J11" s="102" t="n">
        <f aca="false">I11/12</f>
        <v>0</v>
      </c>
      <c r="K11" s="159"/>
      <c r="O11" s="158"/>
      <c r="P11" s="158"/>
      <c r="Q11" s="158"/>
      <c r="R11" s="158"/>
    </row>
    <row r="12" customFormat="false" ht="15.65" hidden="false" customHeight="false" outlineLevel="0" collapsed="false">
      <c r="A12" s="97" t="n">
        <v>400</v>
      </c>
      <c r="B12" s="98" t="s">
        <v>104</v>
      </c>
      <c r="C12" s="108" t="n">
        <f aca="false">D12/D5</f>
        <v>1.86042446791079</v>
      </c>
      <c r="D12" s="106" t="n">
        <f aca="false">D10+D11</f>
        <v>1.86042446791079</v>
      </c>
      <c r="E12" s="161"/>
      <c r="F12" s="158"/>
      <c r="G12" s="158"/>
      <c r="H12" s="101" t="n">
        <f aca="false">IF(AND($H11&lt;YEAR('A. Start'!$E$4),$H11&gt;0),$H11+1,IF($H11=YEAR('A. Start'!$E$4),0,IF($H11=0,0,0)))</f>
        <v>0</v>
      </c>
      <c r="I12" s="101" t="n">
        <f aca="false">ROUNDUP(IF(AND($H12&gt;=YEAR('A. Start'!$E$3),$H12&lt;=YEAR('A. Start'!$E$4)),IF($H12&lt;&gt;YEAR('A. Start'!$E$4),12,(DATEDIF(DATE($H12,1,1),DATE(YEAR('A. Start'!$E$4),MONTH('A. Start'!$E$4),DAY('A. Start'!$E$4)),"d")+1)/IF(MOD($H12,4)=0,366,365)*12)),1)</f>
        <v>0</v>
      </c>
      <c r="J12" s="102" t="n">
        <f aca="false">I12/12</f>
        <v>0</v>
      </c>
      <c r="K12" s="159"/>
      <c r="O12" s="158"/>
      <c r="P12" s="158"/>
      <c r="Q12" s="158"/>
      <c r="R12" s="158"/>
    </row>
    <row r="13" customFormat="false" ht="15.65" hidden="false" customHeight="false" outlineLevel="0" collapsed="false">
      <c r="A13" s="103" t="n">
        <v>401</v>
      </c>
      <c r="B13" s="93" t="s">
        <v>105</v>
      </c>
      <c r="C13" s="104" t="n">
        <f aca="false">'B. Basisdaten'!C4</f>
        <v>0.05</v>
      </c>
      <c r="D13" s="105" t="n">
        <f aca="false">(D10)/(1-$C$11-$C$13-$C$14)*($C$13+$C$14)</f>
        <v>0.118750497951752</v>
      </c>
      <c r="E13" s="158"/>
      <c r="F13" s="158"/>
      <c r="G13" s="158"/>
      <c r="H13" s="101" t="n">
        <f aca="false">IF(AND($H12&lt;YEAR('A. Start'!$E$4),$H12&gt;0),$H12+1,IF($H12=YEAR('A. Start'!$E$4),0,IF($H12=0,0,0)))</f>
        <v>0</v>
      </c>
      <c r="I13" s="101" t="n">
        <f aca="false">ROUNDUP(IF(AND($H13&gt;=YEAR('A. Start'!$E$3),$H13&lt;=YEAR('A. Start'!$E$4)),IF($H13&lt;&gt;YEAR('A. Start'!$E$4),12,(DATEDIF(DATE($H13,1,1),DATE(YEAR('A. Start'!$E$4),MONTH('A. Start'!$E$4),DAY('A. Start'!$E$4)),"d")+1)/IF(MOD($H13,4)=0,366,365)*12)),1)</f>
        <v>0</v>
      </c>
      <c r="J13" s="102" t="n">
        <f aca="false">I13/12</f>
        <v>0</v>
      </c>
      <c r="K13" s="159"/>
      <c r="O13" s="158"/>
      <c r="P13" s="158"/>
      <c r="Q13" s="158"/>
      <c r="R13" s="158"/>
    </row>
    <row r="14" customFormat="false" ht="15.65" hidden="false" customHeight="false" outlineLevel="0" collapsed="false">
      <c r="A14" s="103" t="n">
        <v>402</v>
      </c>
      <c r="B14" s="93" t="s">
        <v>106</v>
      </c>
      <c r="C14" s="104" t="n">
        <f aca="false">'B. Basisdaten'!C5</f>
        <v>0.01</v>
      </c>
      <c r="D14" s="105"/>
      <c r="E14" s="162"/>
      <c r="F14" s="162"/>
      <c r="G14" s="162"/>
      <c r="H14" s="101" t="n">
        <f aca="false">IF(AND($H13&lt;YEAR('A. Start'!$E$4),$H13&gt;0),$H13+1,IF($H13=YEAR('A. Start'!$E$4),0,IF($H13=0,0,0)))</f>
        <v>0</v>
      </c>
      <c r="I14" s="101" t="n">
        <f aca="false">ROUNDUP(IF(AND($H14&gt;=YEAR('A. Start'!$E$3),$H14&lt;=YEAR('A. Start'!$E$4)),IF($H14&lt;&gt;YEAR('A. Start'!$E$4),12,(DATEDIF(DATE($H14,1,1),DATE(YEAR('A. Start'!$E$4),MONTH('A. Start'!$E$4),DAY('A. Start'!$E$4)),"d")+1)/IF(MOD($H14,4)=0,366,365)*12)),1)</f>
        <v>0</v>
      </c>
      <c r="J14" s="102" t="n">
        <f aca="false">I14/12</f>
        <v>0</v>
      </c>
      <c r="K14" s="159"/>
      <c r="O14" s="162"/>
      <c r="P14" s="162"/>
      <c r="Q14" s="162"/>
      <c r="R14" s="162"/>
    </row>
    <row r="15" customFormat="false" ht="29.85" hidden="false" customHeight="false" outlineLevel="0" collapsed="false">
      <c r="A15" s="97" t="n">
        <v>500</v>
      </c>
      <c r="B15" s="98" t="s">
        <v>107</v>
      </c>
      <c r="C15" s="108" t="n">
        <f aca="false">D15/D5</f>
        <v>1.97917496586254</v>
      </c>
      <c r="D15" s="106" t="n">
        <f aca="false">D13+D12</f>
        <v>1.97917496586254</v>
      </c>
      <c r="E15" s="158"/>
      <c r="F15" s="158"/>
      <c r="G15" s="158"/>
      <c r="H15" s="109"/>
      <c r="I15" s="110" t="n">
        <f aca="false">ROUNDDOWN(SUM(I5:I14),0.5)</f>
        <v>60</v>
      </c>
      <c r="J15" s="163" t="n">
        <f aca="false">I15/12</f>
        <v>5</v>
      </c>
      <c r="K15" s="164"/>
      <c r="O15" s="158"/>
      <c r="P15" s="158"/>
      <c r="Q15" s="158"/>
      <c r="R15" s="158"/>
    </row>
    <row r="16" customFormat="false" ht="15.65" hidden="false" customHeight="false" outlineLevel="0" collapsed="false">
      <c r="A16" s="103" t="n">
        <v>501</v>
      </c>
      <c r="B16" s="93" t="s">
        <v>108</v>
      </c>
      <c r="C16" s="104" t="n">
        <f aca="false">'B. Basisdaten'!C13</f>
        <v>0.06</v>
      </c>
      <c r="D16" s="105" t="n">
        <f aca="false">(D15/(1-$C$16))-D15</f>
        <v>0.126330316969949</v>
      </c>
      <c r="E16" s="158"/>
      <c r="F16" s="158"/>
      <c r="G16" s="158"/>
      <c r="H16" s="143"/>
      <c r="J16" s="158"/>
      <c r="O16" s="158"/>
      <c r="P16" s="158"/>
      <c r="Q16" s="158"/>
      <c r="R16" s="158"/>
    </row>
    <row r="17" customFormat="false" ht="15.65" hidden="false" customHeight="false" outlineLevel="0" collapsed="false">
      <c r="A17" s="97" t="n">
        <v>600</v>
      </c>
      <c r="B17" s="98" t="s">
        <v>109</v>
      </c>
      <c r="C17" s="99" t="n">
        <f aca="false">D17/D5</f>
        <v>2.10550528283249</v>
      </c>
      <c r="D17" s="106" t="n">
        <f aca="false">D15+D16</f>
        <v>2.10550528283249</v>
      </c>
      <c r="E17" s="158"/>
      <c r="F17" s="158"/>
      <c r="G17" s="158"/>
      <c r="H17" s="96" t="s">
        <v>110</v>
      </c>
      <c r="I17" s="112" t="n">
        <f aca="false">'B. Basisdaten'!$G$17</f>
        <v>1664</v>
      </c>
      <c r="J17" s="158"/>
      <c r="K17" s="158"/>
      <c r="O17" s="158"/>
      <c r="P17" s="158"/>
      <c r="Q17" s="158"/>
      <c r="R17" s="158"/>
    </row>
    <row r="18" customFormat="false" ht="15.65" hidden="false" customHeight="false" outlineLevel="0" collapsed="false">
      <c r="A18" s="103" t="n">
        <v>601</v>
      </c>
      <c r="B18" s="93" t="s">
        <v>111</v>
      </c>
      <c r="C18" s="104" t="n">
        <f aca="false">'B. Basisdaten'!$L$10</f>
        <v>0.25</v>
      </c>
      <c r="D18" s="105" t="n">
        <f aca="false">D17*C18</f>
        <v>0.526376320708122</v>
      </c>
      <c r="E18" s="158"/>
      <c r="F18" s="158"/>
      <c r="G18" s="158"/>
      <c r="H18" s="158"/>
      <c r="I18" s="158"/>
      <c r="J18" s="158"/>
      <c r="K18" s="158"/>
      <c r="O18" s="158"/>
      <c r="P18" s="158"/>
      <c r="Q18" s="158"/>
      <c r="R18" s="158"/>
      <c r="AF18" s="165"/>
    </row>
    <row r="19" customFormat="false" ht="15.65" hidden="false" customHeight="false" outlineLevel="0" collapsed="false">
      <c r="A19" s="97" t="n">
        <v>700</v>
      </c>
      <c r="B19" s="98" t="s">
        <v>112</v>
      </c>
      <c r="C19" s="99" t="n">
        <f aca="false">D19/D5</f>
        <v>2.63188160354061</v>
      </c>
      <c r="D19" s="106" t="n">
        <f aca="false">D18+D17</f>
        <v>2.63188160354061</v>
      </c>
      <c r="E19" s="158"/>
      <c r="F19" s="158"/>
      <c r="G19" s="158"/>
      <c r="H19" s="158"/>
      <c r="I19" s="158"/>
      <c r="J19" s="158"/>
      <c r="K19" s="158"/>
      <c r="O19" s="158"/>
      <c r="P19" s="158"/>
      <c r="Q19" s="158"/>
      <c r="R19" s="158"/>
    </row>
    <row r="20" customFormat="false" ht="14.25" hidden="false" customHeight="false" outlineLevel="0" collapsed="false">
      <c r="H20" s="114" t="s">
        <v>138</v>
      </c>
      <c r="I20" s="115"/>
      <c r="J20" s="115"/>
      <c r="K20" s="115"/>
      <c r="L20" s="115"/>
      <c r="M20" s="115"/>
      <c r="N20" s="115"/>
      <c r="O20" s="115"/>
      <c r="P20" s="115"/>
      <c r="Q20" s="115"/>
      <c r="R20" s="116" t="s">
        <v>139</v>
      </c>
      <c r="S20" s="117"/>
      <c r="T20" s="117"/>
      <c r="U20" s="117"/>
      <c r="V20" s="117"/>
      <c r="W20" s="117"/>
      <c r="X20" s="117"/>
      <c r="Y20" s="117"/>
      <c r="Z20" s="117"/>
      <c r="AA20" s="117"/>
      <c r="AB20" s="117"/>
      <c r="AC20" s="117"/>
      <c r="AD20" s="117"/>
      <c r="AF20" s="118" t="s">
        <v>140</v>
      </c>
      <c r="AG20" s="119"/>
      <c r="AH20" s="119"/>
    </row>
    <row r="21" customFormat="false" ht="14.25" hidden="false" customHeight="false" outlineLevel="0" collapsed="false">
      <c r="H21" s="120" t="n">
        <f aca="false" t="array" ref="H21:Q21">TRANSPOSE(J5:J14)</f>
        <v>0.708333333333333</v>
      </c>
      <c r="I21" s="120" t="n">
        <v>1</v>
      </c>
      <c r="J21" s="120" t="n">
        <v>1</v>
      </c>
      <c r="K21" s="120" t="n">
        <v>1</v>
      </c>
      <c r="L21" s="120" t="n">
        <v>1</v>
      </c>
      <c r="M21" s="120" t="n">
        <v>0.291666666666667</v>
      </c>
      <c r="N21" s="120" t="n">
        <v>0</v>
      </c>
      <c r="O21" s="120" t="n">
        <v>0</v>
      </c>
      <c r="P21" s="120" t="n">
        <v>0</v>
      </c>
      <c r="Q21" s="120" t="n">
        <v>0</v>
      </c>
    </row>
    <row r="22" s="124" customFormat="true" ht="26.25" hidden="false" customHeight="true" outlineLevel="0" collapsed="false">
      <c r="A22" s="121" t="s">
        <v>116</v>
      </c>
      <c r="B22" s="121" t="s">
        <v>117</v>
      </c>
      <c r="C22" s="122" t="s">
        <v>118</v>
      </c>
      <c r="D22" s="122" t="s">
        <v>141</v>
      </c>
      <c r="E22" s="122" t="s">
        <v>120</v>
      </c>
      <c r="F22" s="123" t="s">
        <v>121</v>
      </c>
      <c r="H22" s="96" t="n">
        <f aca="false" t="array" ref="H22:Q22">TRANSPOSE(H5:H14)</f>
        <v>2027</v>
      </c>
      <c r="I22" s="96" t="n">
        <v>2028</v>
      </c>
      <c r="J22" s="96" t="n">
        <v>2029</v>
      </c>
      <c r="K22" s="96" t="n">
        <v>2030</v>
      </c>
      <c r="L22" s="96" t="n">
        <v>2031</v>
      </c>
      <c r="M22" s="96" t="n">
        <v>2032</v>
      </c>
      <c r="N22" s="96" t="n">
        <v>0</v>
      </c>
      <c r="O22" s="96" t="n">
        <v>0</v>
      </c>
      <c r="P22" s="96" t="n">
        <v>0</v>
      </c>
      <c r="Q22" s="96" t="n">
        <v>0</v>
      </c>
      <c r="R22" s="125" t="n">
        <v>100</v>
      </c>
      <c r="S22" s="126" t="s">
        <v>122</v>
      </c>
      <c r="T22" s="127" t="n">
        <v>200</v>
      </c>
      <c r="U22" s="128" t="n">
        <v>201</v>
      </c>
      <c r="V22" s="125" t="n">
        <v>300</v>
      </c>
      <c r="W22" s="126" t="n">
        <v>301</v>
      </c>
      <c r="X22" s="127" t="n">
        <v>400</v>
      </c>
      <c r="Y22" s="126" t="s">
        <v>123</v>
      </c>
      <c r="Z22" s="125" t="n">
        <v>500</v>
      </c>
      <c r="AA22" s="128" t="n">
        <v>501</v>
      </c>
      <c r="AB22" s="125" t="n">
        <v>600</v>
      </c>
      <c r="AC22" s="128" t="n">
        <v>601</v>
      </c>
      <c r="AD22" s="125" t="n">
        <v>700</v>
      </c>
      <c r="AF22" s="166" t="s">
        <v>124</v>
      </c>
      <c r="AG22" s="166" t="s">
        <v>142</v>
      </c>
      <c r="AH22" s="166" t="s">
        <v>143</v>
      </c>
      <c r="AJ22" s="167"/>
      <c r="AK22" s="168"/>
    </row>
    <row r="23" s="40" customFormat="true" ht="18" hidden="false" customHeight="true" outlineLevel="0" collapsed="false">
      <c r="A23" s="130" t="n">
        <v>1</v>
      </c>
      <c r="B23" s="131" t="s">
        <v>144</v>
      </c>
      <c r="C23" s="132" t="n">
        <v>11.8625</v>
      </c>
      <c r="D23" s="169" t="n">
        <v>17.9</v>
      </c>
      <c r="E23" s="134" t="n">
        <v>0.1776</v>
      </c>
      <c r="F23" s="135" t="n">
        <f aca="false">C23*(1+E23)</f>
        <v>13.96928</v>
      </c>
      <c r="H23" s="170" t="n">
        <f aca="false">D23</f>
        <v>17.9</v>
      </c>
      <c r="I23" s="170" t="n">
        <f aca="false">IF(I$22=0,"",H23*(1+'B. Basisdaten'!$G$4))</f>
        <v>18.437</v>
      </c>
      <c r="J23" s="170" t="n">
        <f aca="false">IF(J$22=0,"",I23*(1+'B. Basisdaten'!$G$4))</f>
        <v>18.99011</v>
      </c>
      <c r="K23" s="170" t="n">
        <f aca="false">IF(K$22=0,"",J23*(1+'B. Basisdaten'!$G$4))</f>
        <v>19.5598133</v>
      </c>
      <c r="L23" s="170" t="n">
        <f aca="false">IF(L$22=0,"",K23*(1+'B. Basisdaten'!$G$4))</f>
        <v>20.146607699</v>
      </c>
      <c r="M23" s="170" t="n">
        <f aca="false">IF(M$22=0,"",L23*(1+'B. Basisdaten'!$G$4))</f>
        <v>20.75100592997</v>
      </c>
      <c r="N23" s="170" t="str">
        <f aca="false">IF(N$22=0,"",M23*(1+'B. Basisdaten'!$G$4))</f>
        <v/>
      </c>
      <c r="O23" s="170" t="str">
        <f aca="false">IF(O$22=0,"",N23*(1+'B. Basisdaten'!$G$4))</f>
        <v/>
      </c>
      <c r="P23" s="170" t="str">
        <f aca="false">IF(P$22=0,"",O23*(1+'B. Basisdaten'!$G$4))</f>
        <v/>
      </c>
      <c r="Q23" s="170" t="str">
        <f aca="false">IF(Q$22=0,"",P23*(1+'B. Basisdaten'!$G$4))</f>
        <v/>
      </c>
      <c r="R23" s="171" t="n">
        <f aca="false">SUMPRODUCT(H23:Q23,$H$21:$Q$21)/SUM($H$21:$Q$21)</f>
        <v>19.1730148790483</v>
      </c>
      <c r="S23" s="138" t="n">
        <f aca="false">R23*($C$6+$C$7)</f>
        <v>6.61100301502567</v>
      </c>
      <c r="T23" s="172" t="n">
        <f aca="false">R23+S23</f>
        <v>25.7840178940739</v>
      </c>
      <c r="U23" s="138" t="n">
        <f aca="false">(R23+S23)*$C$9</f>
        <v>6.28098675899641</v>
      </c>
      <c r="V23" s="172" t="n">
        <f aca="false">T23+U23</f>
        <v>32.0650046530703</v>
      </c>
      <c r="W23" s="138" t="n">
        <f aca="false">(R23+S23+U23)/(1-$C$11-$C$13-$C$14)*$C$11</f>
        <v>3.60494135152862</v>
      </c>
      <c r="X23" s="172" t="n">
        <f aca="false">V23+W23</f>
        <v>35.669946004599</v>
      </c>
      <c r="Y23" s="138" t="n">
        <f aca="false">(V23)/(1-$C$11-$C$13-$C$14)*($C$13+$C$14)</f>
        <v>2.27680506412334</v>
      </c>
      <c r="Z23" s="172" t="n">
        <f aca="false">X23+Y23</f>
        <v>37.9467510687223</v>
      </c>
      <c r="AA23" s="138" t="n">
        <f aca="false">(Z23/(1-$C$16))-Z23</f>
        <v>2.42213304693972</v>
      </c>
      <c r="AB23" s="171" t="n">
        <f aca="false">SUM(Z23)/(1-$C$16)</f>
        <v>40.368884115662</v>
      </c>
      <c r="AC23" s="140" t="n">
        <f aca="false">AB23*$C$18</f>
        <v>10.0922210289155</v>
      </c>
      <c r="AD23" s="171" t="n">
        <f aca="false">AB23+AC23</f>
        <v>50.4611051445775</v>
      </c>
      <c r="AF23" s="173" t="n">
        <f aca="false">'B. Basisdaten'!$G$17*F23</f>
        <v>23244.88192</v>
      </c>
      <c r="AG23" s="172" t="n">
        <f aca="false">AF23*V23</f>
        <v>745347.246924871</v>
      </c>
      <c r="AH23" s="172" t="n">
        <f aca="false">AG23*($I$15/12)</f>
        <v>3726736.23462435</v>
      </c>
      <c r="AJ23" s="174"/>
      <c r="AK23" s="174"/>
    </row>
    <row r="24" customFormat="false" ht="14.25" hidden="false" customHeight="false" outlineLevel="0" collapsed="false">
      <c r="A24" s="128" t="n">
        <v>2</v>
      </c>
      <c r="B24" s="131" t="s">
        <v>145</v>
      </c>
      <c r="C24" s="132" t="n">
        <v>6.3</v>
      </c>
      <c r="D24" s="169" t="n">
        <v>18.9</v>
      </c>
      <c r="E24" s="134" t="n">
        <v>0.1776</v>
      </c>
      <c r="F24" s="135" t="n">
        <f aca="false">C24*(1+E24)</f>
        <v>7.41888</v>
      </c>
      <c r="H24" s="170" t="n">
        <f aca="false">D24</f>
        <v>18.9</v>
      </c>
      <c r="I24" s="170" t="n">
        <f aca="false">IF(I$22=0,"",H24*(1+'B. Basisdaten'!$G$4))</f>
        <v>19.467</v>
      </c>
      <c r="J24" s="170" t="n">
        <f aca="false">IF(J$22=0,"",I24*(1+'B. Basisdaten'!$G$4))</f>
        <v>20.05101</v>
      </c>
      <c r="K24" s="170" t="n">
        <f aca="false">IF(K$22=0,"",J24*(1+'B. Basisdaten'!$G$4))</f>
        <v>20.6525403</v>
      </c>
      <c r="L24" s="170" t="n">
        <f aca="false">IF(L$22=0,"",K24*(1+'B. Basisdaten'!$G$4))</f>
        <v>21.272116509</v>
      </c>
      <c r="M24" s="170" t="n">
        <f aca="false">IF(M$22=0,"",L24*(1+'B. Basisdaten'!$G$4))</f>
        <v>21.91028000427</v>
      </c>
      <c r="N24" s="170" t="str">
        <f aca="false">IF(N$22=0,"",M24*(1+'B. Basisdaten'!$G$4))</f>
        <v/>
      </c>
      <c r="O24" s="170" t="str">
        <f aca="false">IF(O$22=0,"",N24*(1+'B. Basisdaten'!$G$4))</f>
        <v/>
      </c>
      <c r="P24" s="170" t="str">
        <f aca="false">IF(P$22=0,"",O24*(1+'B. Basisdaten'!$G$4))</f>
        <v/>
      </c>
      <c r="Q24" s="170" t="str">
        <f aca="false">IF(Q$22=0,"",P24*(1+'B. Basisdaten'!$G$4))</f>
        <v/>
      </c>
      <c r="R24" s="171" t="n">
        <f aca="false">SUMPRODUCT(H24:Q24,$H$21:$Q$21)/SUM($H$21:$Q$21)</f>
        <v>20.2441330287157</v>
      </c>
      <c r="S24" s="138" t="n">
        <f aca="false">R24*($C$6+$C$7)</f>
        <v>6.98033279240141</v>
      </c>
      <c r="T24" s="172" t="n">
        <f aca="false">R24+S24</f>
        <v>27.2244658211172</v>
      </c>
      <c r="U24" s="138" t="n">
        <f aca="false">(R24+S24)*$C$9</f>
        <v>6.63187987402414</v>
      </c>
      <c r="V24" s="172" t="n">
        <f aca="false">T24+U24</f>
        <v>33.8563456951413</v>
      </c>
      <c r="W24" s="138" t="n">
        <f aca="false">(R24+S24+U24)/(1-$C$11-$C$13-$C$14)*$C$11</f>
        <v>3.8063347231224</v>
      </c>
      <c r="X24" s="172" t="n">
        <f aca="false">V24+W24</f>
        <v>37.6626804182637</v>
      </c>
      <c r="Y24" s="138" t="n">
        <f aca="false">(V24)/(1-$C$11-$C$13-$C$14)*($C$13+$C$14)</f>
        <v>2.40400087776151</v>
      </c>
      <c r="Z24" s="172" t="n">
        <f aca="false">X24+Y24</f>
        <v>40.0666812960252</v>
      </c>
      <c r="AA24" s="138" t="n">
        <f aca="false">(Z24/(1-$C$16))-Z24</f>
        <v>2.55744774229948</v>
      </c>
      <c r="AB24" s="171" t="n">
        <f aca="false">SUM(Z24)/(1-$C$16)</f>
        <v>42.6241290383247</v>
      </c>
      <c r="AC24" s="140" t="n">
        <f aca="false">AB24*$C$18</f>
        <v>10.6560322595812</v>
      </c>
      <c r="AD24" s="171" t="n">
        <f aca="false">AB24+AC24</f>
        <v>53.2801612979059</v>
      </c>
      <c r="AF24" s="173" t="n">
        <f aca="false">'B. Basisdaten'!$G$17*F24</f>
        <v>12345.01632</v>
      </c>
      <c r="AG24" s="172" t="n">
        <f aca="false">AF24*V24</f>
        <v>417957.140142081</v>
      </c>
      <c r="AH24" s="172" t="n">
        <f aca="false">AG24*($I$15/12)</f>
        <v>2089785.70071041</v>
      </c>
    </row>
    <row r="25" customFormat="false" ht="14.25" hidden="false" customHeight="false" outlineLevel="0" collapsed="false">
      <c r="A25" s="130" t="n">
        <v>3</v>
      </c>
      <c r="B25" s="131" t="s">
        <v>146</v>
      </c>
      <c r="C25" s="132" t="n">
        <v>0</v>
      </c>
      <c r="D25" s="169" t="n">
        <v>16.5</v>
      </c>
      <c r="E25" s="134" t="n">
        <v>0</v>
      </c>
      <c r="F25" s="135" t="n">
        <f aca="false">C25*(1+E25)</f>
        <v>0</v>
      </c>
      <c r="H25" s="170" t="n">
        <f aca="false">D25</f>
        <v>16.5</v>
      </c>
      <c r="I25" s="170" t="n">
        <f aca="false">IF(I$22=0,"",H25*(1+'B. Basisdaten'!$G$4))</f>
        <v>16.995</v>
      </c>
      <c r="J25" s="170" t="n">
        <f aca="false">IF(J$22=0,"",I25*(1+'B. Basisdaten'!$G$4))</f>
        <v>17.50485</v>
      </c>
      <c r="K25" s="170" t="n">
        <f aca="false">IF(K$22=0,"",J25*(1+'B. Basisdaten'!$G$4))</f>
        <v>18.0299955</v>
      </c>
      <c r="L25" s="170" t="n">
        <f aca="false">IF(L$22=0,"",K25*(1+'B. Basisdaten'!$G$4))</f>
        <v>18.570895365</v>
      </c>
      <c r="M25" s="170" t="n">
        <f aca="false">IF(M$22=0,"",L25*(1+'B. Basisdaten'!$G$4))</f>
        <v>19.12802222595</v>
      </c>
      <c r="N25" s="170" t="str">
        <f aca="false">IF(N$22=0,"",M25*(1+'B. Basisdaten'!$G$4))</f>
        <v/>
      </c>
      <c r="O25" s="170" t="str">
        <f aca="false">IF(O$22=0,"",N25*(1+'B. Basisdaten'!$G$4))</f>
        <v/>
      </c>
      <c r="P25" s="170" t="str">
        <f aca="false">IF(P$22=0,"",O25*(1+'B. Basisdaten'!$G$4))</f>
        <v/>
      </c>
      <c r="Q25" s="170" t="str">
        <f aca="false">IF(Q$22=0,"",P25*(1+'B. Basisdaten'!$G$4))</f>
        <v/>
      </c>
      <c r="R25" s="171" t="n">
        <f aca="false">SUMPRODUCT(H25:Q25,$H$21:$Q$21)/SUM($H$21:$Q$21)</f>
        <v>17.6734494695138</v>
      </c>
      <c r="S25" s="138" t="n">
        <f aca="false">R25*($C$6+$C$7)</f>
        <v>6.09394132669965</v>
      </c>
      <c r="T25" s="172" t="n">
        <f aca="false">R25+S25</f>
        <v>23.7673907962134</v>
      </c>
      <c r="U25" s="138" t="n">
        <f aca="false">(R25+S25)*$C$9</f>
        <v>5.78973639795758</v>
      </c>
      <c r="V25" s="172" t="n">
        <f aca="false">T25+U25</f>
        <v>29.557127194171</v>
      </c>
      <c r="W25" s="138" t="n">
        <f aca="false">(R25+S25+U25)/(1-$C$11-$C$13-$C$14)*$C$11</f>
        <v>3.32299063129733</v>
      </c>
      <c r="X25" s="172" t="n">
        <f aca="false">V25+W25</f>
        <v>32.8801178254683</v>
      </c>
      <c r="Y25" s="138" t="n">
        <f aca="false">(V25)/(1-$C$11-$C$13-$C$14)*($C$13+$C$14)</f>
        <v>2.09873092502989</v>
      </c>
      <c r="Z25" s="172" t="n">
        <f aca="false">X25+Y25</f>
        <v>34.9788487504982</v>
      </c>
      <c r="AA25" s="138" t="n">
        <f aca="false">(Z25/(1-$C$16))-Z25</f>
        <v>2.23269247343606</v>
      </c>
      <c r="AB25" s="171" t="n">
        <f aca="false">SUM(Z25)/(1-$C$16)</f>
        <v>37.2115412239343</v>
      </c>
      <c r="AC25" s="140" t="n">
        <f aca="false">AB25*$C$18</f>
        <v>9.30288530598357</v>
      </c>
      <c r="AD25" s="171" t="n">
        <f aca="false">AB25+AC25</f>
        <v>46.5144265299178</v>
      </c>
      <c r="AF25" s="173" t="n">
        <f aca="false">'B. Basisdaten'!$G$17*F25</f>
        <v>0</v>
      </c>
      <c r="AG25" s="172" t="n">
        <f aca="false">AF25*V25</f>
        <v>0</v>
      </c>
      <c r="AH25" s="172" t="n">
        <f aca="false">AG25*($I$15/12)</f>
        <v>0</v>
      </c>
    </row>
    <row r="26" customFormat="false" ht="14.25" hidden="false" customHeight="false" outlineLevel="0" collapsed="false">
      <c r="A26" s="128" t="n">
        <v>4</v>
      </c>
      <c r="B26" s="131"/>
      <c r="C26" s="132"/>
      <c r="D26" s="169"/>
      <c r="E26" s="134"/>
      <c r="F26" s="135" t="n">
        <f aca="false">C26*(1+E26)</f>
        <v>0</v>
      </c>
      <c r="H26" s="170" t="n">
        <f aca="false">D26</f>
        <v>0</v>
      </c>
      <c r="I26" s="170" t="n">
        <f aca="false">IF(I$22=0,"",H26*(1+'B. Basisdaten'!$G$4))</f>
        <v>0</v>
      </c>
      <c r="J26" s="170" t="n">
        <f aca="false">IF(J$22=0,"",I26*(1+'B. Basisdaten'!$G$4))</f>
        <v>0</v>
      </c>
      <c r="K26" s="170" t="n">
        <f aca="false">IF(K$22=0,"",J26*(1+'B. Basisdaten'!$G$4))</f>
        <v>0</v>
      </c>
      <c r="L26" s="170" t="n">
        <f aca="false">IF(L$22=0,"",K26*(1+'B. Basisdaten'!$G$4))</f>
        <v>0</v>
      </c>
      <c r="M26" s="170" t="n">
        <f aca="false">IF(M$22=0,"",L26*(1+'B. Basisdaten'!$G$4))</f>
        <v>0</v>
      </c>
      <c r="N26" s="170" t="str">
        <f aca="false">IF(N$22=0,"",M26*(1+'B. Basisdaten'!$G$4))</f>
        <v/>
      </c>
      <c r="O26" s="170" t="str">
        <f aca="false">IF(O$22=0,"",N26*(1+'B. Basisdaten'!$G$4))</f>
        <v/>
      </c>
      <c r="P26" s="170" t="str">
        <f aca="false">IF(P$22=0,"",O26*(1+'B. Basisdaten'!$G$4))</f>
        <v/>
      </c>
      <c r="Q26" s="170" t="str">
        <f aca="false">IF(Q$22=0,"",P26*(1+'B. Basisdaten'!$G$4))</f>
        <v/>
      </c>
      <c r="R26" s="171" t="n">
        <f aca="false">SUMPRODUCT(H26:Q26,$H$21:$Q$21)/SUM($H$21:$Q$21)</f>
        <v>0</v>
      </c>
      <c r="S26" s="138" t="n">
        <f aca="false">R26*($C$6+$C$7)</f>
        <v>0</v>
      </c>
      <c r="T26" s="172" t="n">
        <f aca="false">R26+S26</f>
        <v>0</v>
      </c>
      <c r="U26" s="138" t="n">
        <f aca="false">(R26+S26)*$C$9</f>
        <v>0</v>
      </c>
      <c r="V26" s="172" t="n">
        <f aca="false">T26+U26</f>
        <v>0</v>
      </c>
      <c r="W26" s="138" t="n">
        <f aca="false">(R26+S26+U26)/(1-$C$11-$C$13-$C$14)*$C$11</f>
        <v>0</v>
      </c>
      <c r="X26" s="172" t="n">
        <f aca="false">V26+W26</f>
        <v>0</v>
      </c>
      <c r="Y26" s="138" t="n">
        <f aca="false">(V26)/(1-$C$11-$C$13-$C$14)*($C$13+$C$14)</f>
        <v>0</v>
      </c>
      <c r="Z26" s="172" t="n">
        <f aca="false">X26+Y26</f>
        <v>0</v>
      </c>
      <c r="AA26" s="138" t="n">
        <f aca="false">(Z26/(1-$C$16))-Z26</f>
        <v>0</v>
      </c>
      <c r="AB26" s="171" t="n">
        <f aca="false">SUM(Z26)/(1-$C$16)</f>
        <v>0</v>
      </c>
      <c r="AC26" s="140" t="n">
        <f aca="false">AB26*$C$18</f>
        <v>0</v>
      </c>
      <c r="AD26" s="171" t="n">
        <f aca="false">AB26+AC26</f>
        <v>0</v>
      </c>
      <c r="AF26" s="173" t="n">
        <f aca="false">'B. Basisdaten'!$G$17*F26</f>
        <v>0</v>
      </c>
      <c r="AG26" s="172" t="n">
        <f aca="false">AF26*V26</f>
        <v>0</v>
      </c>
      <c r="AH26" s="172" t="n">
        <f aca="false">AG26*($I$15/12)</f>
        <v>0</v>
      </c>
    </row>
    <row r="27" customFormat="false" ht="14.25" hidden="false" customHeight="false" outlineLevel="0" collapsed="false">
      <c r="A27" s="130" t="n">
        <v>5</v>
      </c>
      <c r="B27" s="131"/>
      <c r="C27" s="132"/>
      <c r="D27" s="169"/>
      <c r="E27" s="134"/>
      <c r="F27" s="135" t="n">
        <f aca="false">C27*(1+E27)</f>
        <v>0</v>
      </c>
      <c r="H27" s="170" t="n">
        <f aca="false">D27</f>
        <v>0</v>
      </c>
      <c r="I27" s="170" t="n">
        <f aca="false">IF(I$22=0,"",H27*(1+'B. Basisdaten'!$G$4))</f>
        <v>0</v>
      </c>
      <c r="J27" s="170" t="n">
        <f aca="false">IF(J$22=0,"",I27*(1+'B. Basisdaten'!$G$4))</f>
        <v>0</v>
      </c>
      <c r="K27" s="170" t="n">
        <f aca="false">IF(K$22=0,"",J27*(1+'B. Basisdaten'!$G$4))</f>
        <v>0</v>
      </c>
      <c r="L27" s="170" t="n">
        <f aca="false">IF(L$22=0,"",K27*(1+'B. Basisdaten'!$G$4))</f>
        <v>0</v>
      </c>
      <c r="M27" s="170" t="n">
        <f aca="false">IF(M$22=0,"",L27*(1+'B. Basisdaten'!$G$4))</f>
        <v>0</v>
      </c>
      <c r="N27" s="170" t="str">
        <f aca="false">IF(N$22=0,"",M27*(1+'B. Basisdaten'!$G$4))</f>
        <v/>
      </c>
      <c r="O27" s="170" t="str">
        <f aca="false">IF(O$22=0,"",N27*(1+'B. Basisdaten'!$G$4))</f>
        <v/>
      </c>
      <c r="P27" s="170" t="str">
        <f aca="false">IF(P$22=0,"",O27*(1+'B. Basisdaten'!$G$4))</f>
        <v/>
      </c>
      <c r="Q27" s="170" t="str">
        <f aca="false">IF(Q$22=0,"",P27*(1+'B. Basisdaten'!$G$4))</f>
        <v/>
      </c>
      <c r="R27" s="171" t="n">
        <f aca="false">SUMPRODUCT(H27:Q27,$H$21:$Q$21)/SUM($H$21:$Q$21)</f>
        <v>0</v>
      </c>
      <c r="S27" s="138" t="n">
        <f aca="false">R27*($C$6+$C$7)</f>
        <v>0</v>
      </c>
      <c r="T27" s="172" t="n">
        <f aca="false">R27+S27</f>
        <v>0</v>
      </c>
      <c r="U27" s="138" t="n">
        <f aca="false">(R27+S27)*$C$9</f>
        <v>0</v>
      </c>
      <c r="V27" s="172" t="n">
        <f aca="false">T27+U27</f>
        <v>0</v>
      </c>
      <c r="W27" s="138" t="n">
        <f aca="false">(R27+S27+U27)/(1-$C$11-$C$13-$C$14)*$C$11</f>
        <v>0</v>
      </c>
      <c r="X27" s="172" t="n">
        <f aca="false">V27+W27</f>
        <v>0</v>
      </c>
      <c r="Y27" s="138" t="n">
        <f aca="false">(V27)/(1-$C$11-$C$13-$C$14)*($C$13+$C$14)</f>
        <v>0</v>
      </c>
      <c r="Z27" s="172" t="n">
        <f aca="false">X27+Y27</f>
        <v>0</v>
      </c>
      <c r="AA27" s="138" t="n">
        <f aca="false">(Z27/(1-$C$16))-Z27</f>
        <v>0</v>
      </c>
      <c r="AB27" s="171" t="n">
        <f aca="false">SUM(Z27)/(1-$C$16)</f>
        <v>0</v>
      </c>
      <c r="AC27" s="140" t="n">
        <f aca="false">AB27*$C$18</f>
        <v>0</v>
      </c>
      <c r="AD27" s="171" t="n">
        <f aca="false">AB27+AC27</f>
        <v>0</v>
      </c>
      <c r="AF27" s="173" t="n">
        <f aca="false">'B. Basisdaten'!$G$17*F27</f>
        <v>0</v>
      </c>
      <c r="AG27" s="172" t="n">
        <f aca="false">AF27*V27</f>
        <v>0</v>
      </c>
      <c r="AH27" s="172" t="n">
        <f aca="false">AG27*($I$15/12)</f>
        <v>0</v>
      </c>
    </row>
    <row r="28" customFormat="false" ht="14.25" hidden="false" customHeight="false" outlineLevel="0" collapsed="false">
      <c r="A28" s="128" t="n">
        <v>6</v>
      </c>
      <c r="B28" s="131"/>
      <c r="C28" s="132"/>
      <c r="D28" s="169"/>
      <c r="E28" s="134"/>
      <c r="F28" s="135" t="n">
        <f aca="false">C28*(1+E28)</f>
        <v>0</v>
      </c>
      <c r="H28" s="170" t="n">
        <f aca="false">D28</f>
        <v>0</v>
      </c>
      <c r="I28" s="170" t="n">
        <f aca="false">IF(I$22=0,"",H28*(1+'B. Basisdaten'!$G$4))</f>
        <v>0</v>
      </c>
      <c r="J28" s="170" t="n">
        <f aca="false">IF(J$22=0,"",I28*(1+'B. Basisdaten'!$G$4))</f>
        <v>0</v>
      </c>
      <c r="K28" s="170" t="n">
        <f aca="false">IF(K$22=0,"",J28*(1+'B. Basisdaten'!$G$4))</f>
        <v>0</v>
      </c>
      <c r="L28" s="170" t="n">
        <f aca="false">IF(L$22=0,"",K28*(1+'B. Basisdaten'!$G$4))</f>
        <v>0</v>
      </c>
      <c r="M28" s="170" t="n">
        <f aca="false">IF(M$22=0,"",L28*(1+'B. Basisdaten'!$G$4))</f>
        <v>0</v>
      </c>
      <c r="N28" s="170" t="str">
        <f aca="false">IF(N$22=0,"",M28*(1+'B. Basisdaten'!$G$4))</f>
        <v/>
      </c>
      <c r="O28" s="170" t="str">
        <f aca="false">IF(O$22=0,"",N28*(1+'B. Basisdaten'!$G$4))</f>
        <v/>
      </c>
      <c r="P28" s="170" t="str">
        <f aca="false">IF(P$22=0,"",O28*(1+'B. Basisdaten'!$G$4))</f>
        <v/>
      </c>
      <c r="Q28" s="170" t="str">
        <f aca="false">IF(Q$22=0,"",P28*(1+'B. Basisdaten'!$G$4))</f>
        <v/>
      </c>
      <c r="R28" s="171" t="n">
        <f aca="false">SUMPRODUCT(H28:Q28,$H$21:$Q$21)/SUM($H$21:$Q$21)</f>
        <v>0</v>
      </c>
      <c r="S28" s="138" t="n">
        <f aca="false">R28*($C$6+$C$7)</f>
        <v>0</v>
      </c>
      <c r="T28" s="172" t="n">
        <f aca="false">R28+S28</f>
        <v>0</v>
      </c>
      <c r="U28" s="138" t="n">
        <f aca="false">(R28+S28)*$C$9</f>
        <v>0</v>
      </c>
      <c r="V28" s="172" t="n">
        <f aca="false">T28+U28</f>
        <v>0</v>
      </c>
      <c r="W28" s="138" t="n">
        <f aca="false">(R28+S28+U28)/(1-$C$11-$C$13-$C$14)*$C$11</f>
        <v>0</v>
      </c>
      <c r="X28" s="172" t="n">
        <f aca="false">V28+W28</f>
        <v>0</v>
      </c>
      <c r="Y28" s="138" t="n">
        <f aca="false">(V28)/(1-$C$11-$C$13-$C$14)*($C$13+$C$14)</f>
        <v>0</v>
      </c>
      <c r="Z28" s="172" t="n">
        <f aca="false">X28+Y28</f>
        <v>0</v>
      </c>
      <c r="AA28" s="138" t="n">
        <f aca="false">(Z28/(1-$C$16))-Z28</f>
        <v>0</v>
      </c>
      <c r="AB28" s="171" t="n">
        <f aca="false">SUM(Z28)/(1-$C$16)</f>
        <v>0</v>
      </c>
      <c r="AC28" s="140" t="n">
        <f aca="false">AB28*$C$18</f>
        <v>0</v>
      </c>
      <c r="AD28" s="171" t="n">
        <f aca="false">AB28+AC28</f>
        <v>0</v>
      </c>
      <c r="AF28" s="173" t="n">
        <f aca="false">'B. Basisdaten'!$G$17*F28</f>
        <v>0</v>
      </c>
      <c r="AG28" s="172" t="n">
        <f aca="false">AF28*V28</f>
        <v>0</v>
      </c>
      <c r="AH28" s="172" t="n">
        <f aca="false">AG28*($I$15/12)</f>
        <v>0</v>
      </c>
    </row>
    <row r="29" customFormat="false" ht="14.25" hidden="false" customHeight="false" outlineLevel="0" collapsed="false">
      <c r="A29" s="130" t="n">
        <v>7</v>
      </c>
      <c r="B29" s="131"/>
      <c r="C29" s="132"/>
      <c r="D29" s="169"/>
      <c r="E29" s="134"/>
      <c r="F29" s="135" t="n">
        <f aca="false">C29*(1+E29)</f>
        <v>0</v>
      </c>
      <c r="H29" s="170" t="n">
        <f aca="false">D29</f>
        <v>0</v>
      </c>
      <c r="I29" s="170" t="n">
        <f aca="false">IF(I$22=0,"",H29*(1+'B. Basisdaten'!$G$4))</f>
        <v>0</v>
      </c>
      <c r="J29" s="170" t="n">
        <f aca="false">IF(J$22=0,"",I29*(1+'B. Basisdaten'!$G$4))</f>
        <v>0</v>
      </c>
      <c r="K29" s="170" t="n">
        <f aca="false">IF(K$22=0,"",J29*(1+'B. Basisdaten'!$G$4))</f>
        <v>0</v>
      </c>
      <c r="L29" s="170" t="n">
        <f aca="false">IF(L$22=0,"",K29*(1+'B. Basisdaten'!$G$4))</f>
        <v>0</v>
      </c>
      <c r="M29" s="170" t="n">
        <f aca="false">IF(M$22=0,"",L29*(1+'B. Basisdaten'!$G$4))</f>
        <v>0</v>
      </c>
      <c r="N29" s="170" t="str">
        <f aca="false">IF(N$22=0,"",M29*(1+'B. Basisdaten'!$G$4))</f>
        <v/>
      </c>
      <c r="O29" s="170" t="str">
        <f aca="false">IF(O$22=0,"",N29*(1+'B. Basisdaten'!$G$4))</f>
        <v/>
      </c>
      <c r="P29" s="170" t="str">
        <f aca="false">IF(P$22=0,"",O29*(1+'B. Basisdaten'!$G$4))</f>
        <v/>
      </c>
      <c r="Q29" s="170" t="str">
        <f aca="false">IF(Q$22=0,"",P29*(1+'B. Basisdaten'!$G$4))</f>
        <v/>
      </c>
      <c r="R29" s="171" t="n">
        <f aca="false">SUMPRODUCT(H29:Q29,$H$21:$Q$21)/SUM($H$21:$Q$21)</f>
        <v>0</v>
      </c>
      <c r="S29" s="138" t="n">
        <f aca="false">R29*($C$6+$C$7)</f>
        <v>0</v>
      </c>
      <c r="T29" s="172" t="n">
        <f aca="false">R29+S29</f>
        <v>0</v>
      </c>
      <c r="U29" s="138" t="n">
        <f aca="false">(R29+S29)*$C$9</f>
        <v>0</v>
      </c>
      <c r="V29" s="172" t="n">
        <f aca="false">T29+U29</f>
        <v>0</v>
      </c>
      <c r="W29" s="138" t="n">
        <f aca="false">(R29+S29+U29)/(1-$C$11-$C$13-$C$14)*$C$11</f>
        <v>0</v>
      </c>
      <c r="X29" s="172" t="n">
        <f aca="false">V29+W29</f>
        <v>0</v>
      </c>
      <c r="Y29" s="138" t="n">
        <f aca="false">(V29)/(1-$C$11-$C$13-$C$14)*($C$13+$C$14)</f>
        <v>0</v>
      </c>
      <c r="Z29" s="172" t="n">
        <f aca="false">X29+Y29</f>
        <v>0</v>
      </c>
      <c r="AA29" s="138" t="n">
        <f aca="false">(Z29/(1-$C$16))-Z29</f>
        <v>0</v>
      </c>
      <c r="AB29" s="171" t="n">
        <f aca="false">SUM(Z29)/(1-$C$16)</f>
        <v>0</v>
      </c>
      <c r="AC29" s="140" t="n">
        <f aca="false">AB29*$C$18</f>
        <v>0</v>
      </c>
      <c r="AD29" s="171" t="n">
        <f aca="false">AB29+AC29</f>
        <v>0</v>
      </c>
      <c r="AF29" s="173" t="n">
        <f aca="false">'B. Basisdaten'!$G$17*F29</f>
        <v>0</v>
      </c>
      <c r="AG29" s="172" t="n">
        <f aca="false">AF29*V29</f>
        <v>0</v>
      </c>
      <c r="AH29" s="172" t="n">
        <f aca="false">AG29*($I$15/12)</f>
        <v>0</v>
      </c>
    </row>
    <row r="30" customFormat="false" ht="14.25" hidden="false" customHeight="false" outlineLevel="0" collapsed="false">
      <c r="A30" s="128" t="n">
        <v>8</v>
      </c>
      <c r="B30" s="131"/>
      <c r="C30" s="132"/>
      <c r="D30" s="169"/>
      <c r="E30" s="134"/>
      <c r="F30" s="135" t="n">
        <f aca="false">C30*(1+E30)</f>
        <v>0</v>
      </c>
      <c r="H30" s="170" t="n">
        <f aca="false">D30</f>
        <v>0</v>
      </c>
      <c r="I30" s="170" t="n">
        <f aca="false">IF(I$22=0,"",H30*(1+'B. Basisdaten'!$G$4))</f>
        <v>0</v>
      </c>
      <c r="J30" s="170" t="n">
        <f aca="false">IF(J$22=0,"",I30*(1+'B. Basisdaten'!$G$4))</f>
        <v>0</v>
      </c>
      <c r="K30" s="170" t="n">
        <f aca="false">IF(K$22=0,"",J30*(1+'B. Basisdaten'!$G$4))</f>
        <v>0</v>
      </c>
      <c r="L30" s="170" t="n">
        <f aca="false">IF(L$22=0,"",K30*(1+'B. Basisdaten'!$G$4))</f>
        <v>0</v>
      </c>
      <c r="M30" s="170" t="n">
        <f aca="false">IF(M$22=0,"",L30*(1+'B. Basisdaten'!$G$4))</f>
        <v>0</v>
      </c>
      <c r="N30" s="170" t="str">
        <f aca="false">IF(N$22=0,"",M30*(1+'B. Basisdaten'!$G$4))</f>
        <v/>
      </c>
      <c r="O30" s="170" t="str">
        <f aca="false">IF(O$22=0,"",N30*(1+'B. Basisdaten'!$G$4))</f>
        <v/>
      </c>
      <c r="P30" s="170" t="str">
        <f aca="false">IF(P$22=0,"",O30*(1+'B. Basisdaten'!$G$4))</f>
        <v/>
      </c>
      <c r="Q30" s="170" t="str">
        <f aca="false">IF(Q$22=0,"",P30*(1+'B. Basisdaten'!$G$4))</f>
        <v/>
      </c>
      <c r="R30" s="171" t="n">
        <f aca="false">SUMPRODUCT(H30:Q30,$H$21:$Q$21)/SUM($H$21:$Q$21)</f>
        <v>0</v>
      </c>
      <c r="S30" s="138" t="n">
        <f aca="false">R30*($C$6+$C$7)</f>
        <v>0</v>
      </c>
      <c r="T30" s="172" t="n">
        <f aca="false">R30+S30</f>
        <v>0</v>
      </c>
      <c r="U30" s="138" t="n">
        <f aca="false">(R30+S30)*$C$9</f>
        <v>0</v>
      </c>
      <c r="V30" s="172" t="n">
        <f aca="false">T30+U30</f>
        <v>0</v>
      </c>
      <c r="W30" s="138" t="n">
        <f aca="false">(R30+S30+U30)/(1-$C$11-$C$13-$C$14)*$C$11</f>
        <v>0</v>
      </c>
      <c r="X30" s="172" t="n">
        <f aca="false">V30+W30</f>
        <v>0</v>
      </c>
      <c r="Y30" s="138" t="n">
        <f aca="false">(V30)/(1-$C$11-$C$13-$C$14)*($C$13+$C$14)</f>
        <v>0</v>
      </c>
      <c r="Z30" s="172" t="n">
        <f aca="false">X30+Y30</f>
        <v>0</v>
      </c>
      <c r="AA30" s="138" t="n">
        <f aca="false">(Z30/(1-$C$16))-Z30</f>
        <v>0</v>
      </c>
      <c r="AB30" s="171" t="n">
        <f aca="false">SUM(Z30)/(1-$C$16)</f>
        <v>0</v>
      </c>
      <c r="AC30" s="140" t="n">
        <f aca="false">AB30*$C$18</f>
        <v>0</v>
      </c>
      <c r="AD30" s="171" t="n">
        <f aca="false">AB30+AC30</f>
        <v>0</v>
      </c>
      <c r="AF30" s="173" t="n">
        <f aca="false">'B. Basisdaten'!$G$17*F30</f>
        <v>0</v>
      </c>
      <c r="AG30" s="172" t="n">
        <f aca="false">AF30*V30</f>
        <v>0</v>
      </c>
      <c r="AH30" s="172" t="n">
        <f aca="false">AG30*($I$15/12)</f>
        <v>0</v>
      </c>
    </row>
    <row r="31" customFormat="false" ht="14.25" hidden="false" customHeight="false" outlineLevel="0" collapsed="false">
      <c r="A31" s="130" t="n">
        <v>9</v>
      </c>
      <c r="B31" s="131"/>
      <c r="C31" s="132"/>
      <c r="D31" s="169"/>
      <c r="E31" s="134"/>
      <c r="F31" s="135" t="n">
        <f aca="false">C31*(1+E31)</f>
        <v>0</v>
      </c>
      <c r="H31" s="170" t="n">
        <f aca="false">D31</f>
        <v>0</v>
      </c>
      <c r="I31" s="170" t="n">
        <f aca="false">IF(I$22=0,"",H31*(1+'B. Basisdaten'!$G$4))</f>
        <v>0</v>
      </c>
      <c r="J31" s="170" t="n">
        <f aca="false">IF(J$22=0,"",I31*(1+'B. Basisdaten'!$G$4))</f>
        <v>0</v>
      </c>
      <c r="K31" s="170" t="n">
        <f aca="false">IF(K$22=0,"",J31*(1+'B. Basisdaten'!$G$4))</f>
        <v>0</v>
      </c>
      <c r="L31" s="170" t="n">
        <f aca="false">IF(L$22=0,"",K31*(1+'B. Basisdaten'!$G$4))</f>
        <v>0</v>
      </c>
      <c r="M31" s="170" t="n">
        <f aca="false">IF(M$22=0,"",L31*(1+'B. Basisdaten'!$G$4))</f>
        <v>0</v>
      </c>
      <c r="N31" s="170" t="str">
        <f aca="false">IF(N$22=0,"",M31*(1+'B. Basisdaten'!$G$4))</f>
        <v/>
      </c>
      <c r="O31" s="170" t="str">
        <f aca="false">IF(O$22=0,"",N31*(1+'B. Basisdaten'!$G$4))</f>
        <v/>
      </c>
      <c r="P31" s="170" t="str">
        <f aca="false">IF(P$22=0,"",O31*(1+'B. Basisdaten'!$G$4))</f>
        <v/>
      </c>
      <c r="Q31" s="170" t="str">
        <f aca="false">IF(Q$22=0,"",P31*(1+'B. Basisdaten'!$G$4))</f>
        <v/>
      </c>
      <c r="R31" s="171" t="n">
        <f aca="false">SUMPRODUCT(H31:Q31,$H$21:$Q$21)/SUM($H$21:$Q$21)</f>
        <v>0</v>
      </c>
      <c r="S31" s="138" t="n">
        <f aca="false">R31*($C$6+$C$7)</f>
        <v>0</v>
      </c>
      <c r="T31" s="172" t="n">
        <f aca="false">R31+S31</f>
        <v>0</v>
      </c>
      <c r="U31" s="138" t="n">
        <f aca="false">(R31+S31)*$C$9</f>
        <v>0</v>
      </c>
      <c r="V31" s="172" t="n">
        <f aca="false">T31+U31</f>
        <v>0</v>
      </c>
      <c r="W31" s="138" t="n">
        <f aca="false">(R31+S31+U31)/(1-$C$11-$C$13-$C$14)*$C$11</f>
        <v>0</v>
      </c>
      <c r="X31" s="172" t="n">
        <f aca="false">V31+W31</f>
        <v>0</v>
      </c>
      <c r="Y31" s="138" t="n">
        <f aca="false">(V31)/(1-$C$11-$C$13-$C$14)*($C$13+$C$14)</f>
        <v>0</v>
      </c>
      <c r="Z31" s="172" t="n">
        <f aca="false">X31+Y31</f>
        <v>0</v>
      </c>
      <c r="AA31" s="138" t="n">
        <f aca="false">(Z31/(1-$C$16))-Z31</f>
        <v>0</v>
      </c>
      <c r="AB31" s="171" t="n">
        <f aca="false">SUM(Z31)/(1-$C$16)</f>
        <v>0</v>
      </c>
      <c r="AC31" s="140" t="n">
        <f aca="false">AB31*$C$18</f>
        <v>0</v>
      </c>
      <c r="AD31" s="171" t="n">
        <f aca="false">AB31+AC31</f>
        <v>0</v>
      </c>
      <c r="AF31" s="173" t="n">
        <f aca="false">'B. Basisdaten'!$G$17*F31</f>
        <v>0</v>
      </c>
      <c r="AG31" s="172" t="n">
        <f aca="false">AF31*V31</f>
        <v>0</v>
      </c>
      <c r="AH31" s="172" t="n">
        <f aca="false">AG31*($I$15/12)</f>
        <v>0</v>
      </c>
    </row>
    <row r="32" customFormat="false" ht="14.25" hidden="false" customHeight="false" outlineLevel="0" collapsed="false">
      <c r="A32" s="128" t="n">
        <v>10</v>
      </c>
      <c r="B32" s="131"/>
      <c r="C32" s="132"/>
      <c r="D32" s="169"/>
      <c r="E32" s="134"/>
      <c r="F32" s="135" t="n">
        <f aca="false">C32*(1+E32)</f>
        <v>0</v>
      </c>
      <c r="H32" s="170" t="n">
        <f aca="false">D32</f>
        <v>0</v>
      </c>
      <c r="I32" s="170" t="n">
        <f aca="false">IF(I$22=0,"",H32*(1+'B. Basisdaten'!$G$4))</f>
        <v>0</v>
      </c>
      <c r="J32" s="170" t="n">
        <f aca="false">IF(J$22=0,"",I32*(1+'B. Basisdaten'!$G$4))</f>
        <v>0</v>
      </c>
      <c r="K32" s="170" t="n">
        <f aca="false">IF(K$22=0,"",J32*(1+'B. Basisdaten'!$G$4))</f>
        <v>0</v>
      </c>
      <c r="L32" s="170" t="n">
        <f aca="false">IF(L$22=0,"",K32*(1+'B. Basisdaten'!$G$4))</f>
        <v>0</v>
      </c>
      <c r="M32" s="170" t="n">
        <f aca="false">IF(M$22=0,"",L32*(1+'B. Basisdaten'!$G$4))</f>
        <v>0</v>
      </c>
      <c r="N32" s="170" t="str">
        <f aca="false">IF(N$22=0,"",M32*(1+'B. Basisdaten'!$G$4))</f>
        <v/>
      </c>
      <c r="O32" s="170" t="str">
        <f aca="false">IF(O$22=0,"",N32*(1+'B. Basisdaten'!$G$4))</f>
        <v/>
      </c>
      <c r="P32" s="170" t="str">
        <f aca="false">IF(P$22=0,"",O32*(1+'B. Basisdaten'!$G$4))</f>
        <v/>
      </c>
      <c r="Q32" s="170" t="str">
        <f aca="false">IF(Q$22=0,"",P32*(1+'B. Basisdaten'!$G$4))</f>
        <v/>
      </c>
      <c r="R32" s="171" t="n">
        <f aca="false">SUMPRODUCT(H32:Q32,$H$21:$Q$21)/SUM($H$21:$Q$21)</f>
        <v>0</v>
      </c>
      <c r="S32" s="138" t="n">
        <f aca="false">R32*($C$6+$C$7)</f>
        <v>0</v>
      </c>
      <c r="T32" s="172" t="n">
        <f aca="false">R32+S32</f>
        <v>0</v>
      </c>
      <c r="U32" s="138" t="n">
        <f aca="false">(R32+S32)*$C$9</f>
        <v>0</v>
      </c>
      <c r="V32" s="172" t="n">
        <f aca="false">T32+U32</f>
        <v>0</v>
      </c>
      <c r="W32" s="138" t="n">
        <f aca="false">(R32+S32+U32)/(1-$C$11-$C$13-$C$14)*$C$11</f>
        <v>0</v>
      </c>
      <c r="X32" s="172" t="n">
        <f aca="false">V32+W32</f>
        <v>0</v>
      </c>
      <c r="Y32" s="138" t="n">
        <f aca="false">(V32)/(1-$C$11-$C$13-$C$14)*($C$13+$C$14)</f>
        <v>0</v>
      </c>
      <c r="Z32" s="172" t="n">
        <f aca="false">X32+Y32</f>
        <v>0</v>
      </c>
      <c r="AA32" s="138" t="n">
        <f aca="false">(Z32/(1-$C$16))-Z32</f>
        <v>0</v>
      </c>
      <c r="AB32" s="171" t="n">
        <f aca="false">SUM(Z32)/(1-$C$16)</f>
        <v>0</v>
      </c>
      <c r="AC32" s="140" t="n">
        <f aca="false">AB32*$C$18</f>
        <v>0</v>
      </c>
      <c r="AD32" s="171" t="n">
        <f aca="false">AB32+AC32</f>
        <v>0</v>
      </c>
      <c r="AF32" s="173" t="n">
        <f aca="false">'B. Basisdaten'!$G$17*F32</f>
        <v>0</v>
      </c>
      <c r="AG32" s="172" t="n">
        <f aca="false">AF32*V32</f>
        <v>0</v>
      </c>
      <c r="AH32" s="172" t="n">
        <f aca="false">AG32*($I$15/12)</f>
        <v>0</v>
      </c>
    </row>
    <row r="33" customFormat="false" ht="14.25" hidden="false" customHeight="false" outlineLevel="0" collapsed="false">
      <c r="A33" s="125" t="s">
        <v>130</v>
      </c>
      <c r="B33" s="97" t="s">
        <v>59</v>
      </c>
      <c r="C33" s="175" t="n">
        <f aca="false">SUM(C23:C32)</f>
        <v>18.1625</v>
      </c>
      <c r="D33" s="176"/>
      <c r="E33" s="177"/>
      <c r="F33" s="146" t="n">
        <f aca="false">SUM(F23:F32)</f>
        <v>21.38816</v>
      </c>
      <c r="AF33" s="178" t="n">
        <f aca="false">SUM(AF23:AF32)</f>
        <v>35589.89824</v>
      </c>
      <c r="AG33" s="179" t="n">
        <f aca="false">SUM(AG23:AG32)</f>
        <v>1163304.38706695</v>
      </c>
      <c r="AH33" s="179" t="n">
        <f aca="false">SUM(AH23:AH32)</f>
        <v>5816521.93533476</v>
      </c>
      <c r="AJ33" s="180"/>
      <c r="AK33" s="180"/>
    </row>
    <row r="35" customFormat="false" ht="14.25" hidden="false" customHeight="false" outlineLevel="0" collapsed="false">
      <c r="AH35" s="181" t="n">
        <v>8446695.40884318</v>
      </c>
    </row>
    <row r="36" customFormat="false" ht="14.25" hidden="false" customHeight="false" outlineLevel="0" collapsed="false">
      <c r="AH36" s="182" t="n">
        <f aca="false">AH33/AH35-1</f>
        <v>-0.311384908085449</v>
      </c>
    </row>
  </sheetData>
  <mergeCells count="2">
    <mergeCell ref="D6:D7"/>
    <mergeCell ref="D13:D14"/>
  </mergeCell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S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6" activeCellId="0" sqref="J6"/>
    </sheetView>
  </sheetViews>
  <sheetFormatPr defaultColWidth="11.5625" defaultRowHeight="13.5" zeroHeight="false" outlineLevelRow="0" outlineLevelCol="0"/>
  <cols>
    <col collapsed="false" customWidth="true" hidden="false" outlineLevel="0" max="1" min="1" style="1" width="3"/>
    <col collapsed="false" customWidth="true" hidden="false" outlineLevel="0" max="2" min="2" style="1" width="33.33"/>
    <col collapsed="false" customWidth="true" hidden="false" outlineLevel="0" max="3" min="3" style="1" width="8.88"/>
    <col collapsed="false" customWidth="true" hidden="false" outlineLevel="0" max="6" min="4" style="1" width="16.33"/>
    <col collapsed="false" customWidth="true" hidden="false" outlineLevel="0" max="7" min="7" style="1" width="3"/>
    <col collapsed="false" customWidth="true" hidden="false" outlineLevel="0" max="8" min="8" style="1" width="20.11"/>
    <col collapsed="false" customWidth="true" hidden="false" outlineLevel="0" max="9" min="9" style="1" width="9.56"/>
    <col collapsed="false" customWidth="true" hidden="false" outlineLevel="0" max="12" min="10" style="1" width="16.33"/>
    <col collapsed="false" customWidth="true" hidden="false" outlineLevel="0" max="13" min="13" style="1" width="3"/>
    <col collapsed="false" customWidth="true" hidden="false" outlineLevel="0" max="14" min="14" style="1" width="20.11"/>
    <col collapsed="false" customWidth="true" hidden="false" outlineLevel="0" max="15" min="15" style="1" width="10"/>
    <col collapsed="false" customWidth="true" hidden="false" outlineLevel="0" max="18" min="16" style="1" width="16.33"/>
    <col collapsed="false" customWidth="true" hidden="false" outlineLevel="0" max="19" min="19" style="1" width="3"/>
    <col collapsed="false" customWidth="false" hidden="false" outlineLevel="0" max="16384" min="20" style="1" width="11.56"/>
  </cols>
  <sheetData>
    <row r="1" s="5" customFormat="true" ht="21.75" hidden="false" customHeight="true" outlineLevel="0" collapsed="false">
      <c r="A1" s="3"/>
      <c r="B1" s="2" t="s">
        <v>147</v>
      </c>
      <c r="C1" s="3"/>
      <c r="D1" s="183" t="s">
        <v>148</v>
      </c>
      <c r="E1" s="184" t="n">
        <f aca="false">'A. Start'!$E$3</f>
        <v>46492</v>
      </c>
      <c r="F1" s="3"/>
      <c r="G1" s="3"/>
      <c r="H1" s="3"/>
      <c r="I1" s="39"/>
      <c r="J1" s="3"/>
      <c r="K1" s="185" t="s">
        <v>149</v>
      </c>
      <c r="L1" s="186" t="e">
        <f aca="false">#REF!</f>
        <v>#REF!</v>
      </c>
      <c r="M1" s="3"/>
      <c r="N1" s="3"/>
      <c r="O1" s="2"/>
      <c r="P1" s="3"/>
      <c r="Q1" s="3"/>
      <c r="R1" s="3"/>
      <c r="S1" s="3"/>
    </row>
    <row r="2" customFormat="false" ht="11.25" hidden="false" customHeight="true" outlineLevel="0" collapsed="false"/>
    <row r="3" s="187" customFormat="true" ht="14.25" hidden="false" customHeight="true" outlineLevel="0" collapsed="false">
      <c r="B3" s="187" t="s">
        <v>150</v>
      </c>
      <c r="H3" s="187" t="s">
        <v>151</v>
      </c>
      <c r="N3" s="187" t="s">
        <v>152</v>
      </c>
    </row>
    <row r="4" s="188" customFormat="true" ht="41.25" hidden="false" customHeight="true" outlineLevel="0" collapsed="false">
      <c r="B4" s="189" t="s">
        <v>153</v>
      </c>
      <c r="C4" s="190" t="s">
        <v>154</v>
      </c>
      <c r="D4" s="191" t="s">
        <v>155</v>
      </c>
      <c r="E4" s="191" t="s">
        <v>156</v>
      </c>
      <c r="F4" s="191" t="s">
        <v>157</v>
      </c>
      <c r="H4" s="189" t="s">
        <v>153</v>
      </c>
      <c r="I4" s="190" t="s">
        <v>154</v>
      </c>
      <c r="J4" s="191" t="s">
        <v>158</v>
      </c>
      <c r="K4" s="191" t="s">
        <v>156</v>
      </c>
      <c r="L4" s="191" t="s">
        <v>157</v>
      </c>
      <c r="N4" s="189" t="s">
        <v>153</v>
      </c>
      <c r="O4" s="190" t="s">
        <v>154</v>
      </c>
      <c r="P4" s="191" t="s">
        <v>159</v>
      </c>
      <c r="Q4" s="191" t="s">
        <v>160</v>
      </c>
      <c r="R4" s="191" t="s">
        <v>157</v>
      </c>
    </row>
    <row r="5" customFormat="false" ht="19.5" hidden="false" customHeight="true" outlineLevel="0" collapsed="false">
      <c r="B5" s="192" t="s">
        <v>161</v>
      </c>
      <c r="C5" s="193" t="n">
        <v>1</v>
      </c>
      <c r="D5" s="194" t="n">
        <v>850000</v>
      </c>
      <c r="E5" s="195" t="n">
        <f aca="false">F5/'A. Start'!$E$5*12</f>
        <v>170000</v>
      </c>
      <c r="F5" s="195" t="n">
        <f aca="false">C5*D5</f>
        <v>850000</v>
      </c>
      <c r="H5" s="192" t="s">
        <v>162</v>
      </c>
      <c r="I5" s="193" t="n">
        <v>1</v>
      </c>
      <c r="J5" s="194" t="n">
        <v>78500</v>
      </c>
      <c r="K5" s="195" t="n">
        <f aca="false">J5*I5*12</f>
        <v>942000</v>
      </c>
      <c r="L5" s="195" t="n">
        <f aca="false">K5*'A. Start'!$E$6</f>
        <v>4710000</v>
      </c>
      <c r="N5" s="192" t="s">
        <v>163</v>
      </c>
      <c r="O5" s="193" t="n">
        <v>1</v>
      </c>
      <c r="P5" s="194" t="n">
        <v>96000</v>
      </c>
      <c r="Q5" s="195" t="n">
        <f aca="false">P5*O5</f>
        <v>96000</v>
      </c>
      <c r="R5" s="195" t="n">
        <f aca="false">Q5*'A. Start'!$E$6</f>
        <v>480000</v>
      </c>
    </row>
    <row r="6" customFormat="false" ht="19.5" hidden="false" customHeight="true" outlineLevel="0" collapsed="false">
      <c r="B6" s="192" t="s">
        <v>164</v>
      </c>
      <c r="C6" s="193" t="n">
        <v>12</v>
      </c>
      <c r="D6" s="194" t="n">
        <v>1450.5</v>
      </c>
      <c r="E6" s="195" t="n">
        <f aca="false">F6/'A. Start'!$E$5*12</f>
        <v>3481.2</v>
      </c>
      <c r="F6" s="195" t="n">
        <f aca="false">C6*D6</f>
        <v>17406</v>
      </c>
      <c r="H6" s="192" t="s">
        <v>165</v>
      </c>
      <c r="I6" s="193" t="n">
        <v>9</v>
      </c>
      <c r="J6" s="194" t="n">
        <v>1150</v>
      </c>
      <c r="K6" s="195" t="n">
        <f aca="false">J6*I6*12</f>
        <v>124200</v>
      </c>
      <c r="L6" s="195" t="n">
        <f aca="false">K6*'A. Start'!$E$6</f>
        <v>621000</v>
      </c>
      <c r="N6" s="192"/>
      <c r="O6" s="193"/>
      <c r="P6" s="194"/>
      <c r="Q6" s="195" t="n">
        <f aca="false">P6*O6</f>
        <v>0</v>
      </c>
      <c r="R6" s="195" t="n">
        <f aca="false">Q6*'A. Start'!$E$6</f>
        <v>0</v>
      </c>
    </row>
    <row r="7" customFormat="false" ht="19.5" hidden="false" customHeight="true" outlineLevel="0" collapsed="false">
      <c r="B7" s="192"/>
      <c r="C7" s="193"/>
      <c r="D7" s="194"/>
      <c r="E7" s="195" t="n">
        <f aca="false">F7/'A. Start'!$E$5*12</f>
        <v>0</v>
      </c>
      <c r="F7" s="195" t="n">
        <f aca="false">C7*D7</f>
        <v>0</v>
      </c>
      <c r="H7" s="192" t="s">
        <v>166</v>
      </c>
      <c r="I7" s="193" t="n">
        <v>1</v>
      </c>
      <c r="J7" s="194" t="n">
        <v>6200</v>
      </c>
      <c r="K7" s="195" t="n">
        <f aca="false">J7*I7*12</f>
        <v>74400</v>
      </c>
      <c r="L7" s="195" t="n">
        <f aca="false">K7*'A. Start'!$E$6</f>
        <v>372000</v>
      </c>
      <c r="N7" s="192"/>
      <c r="O7" s="193"/>
      <c r="P7" s="194"/>
      <c r="Q7" s="195" t="n">
        <f aca="false">P7*O7</f>
        <v>0</v>
      </c>
      <c r="R7" s="195" t="n">
        <f aca="false">Q7*'A. Start'!$E$6</f>
        <v>0</v>
      </c>
    </row>
    <row r="8" customFormat="false" ht="19.5" hidden="false" customHeight="true" outlineLevel="0" collapsed="false">
      <c r="B8" s="192"/>
      <c r="C8" s="193"/>
      <c r="D8" s="194"/>
      <c r="E8" s="195" t="n">
        <f aca="false">F8/'A. Start'!$E$5*12</f>
        <v>0</v>
      </c>
      <c r="F8" s="195" t="n">
        <f aca="false">C8*D8</f>
        <v>0</v>
      </c>
      <c r="H8" s="192"/>
      <c r="I8" s="193"/>
      <c r="J8" s="194"/>
      <c r="K8" s="195" t="n">
        <f aca="false">J8*I8*12</f>
        <v>0</v>
      </c>
      <c r="L8" s="195" t="n">
        <f aca="false">K8*'A. Start'!$E$6</f>
        <v>0</v>
      </c>
      <c r="N8" s="192"/>
      <c r="O8" s="193"/>
      <c r="P8" s="194"/>
      <c r="Q8" s="195" t="n">
        <f aca="false">P8*O8</f>
        <v>0</v>
      </c>
      <c r="R8" s="195" t="n">
        <f aca="false">Q8*'A. Start'!$E$6</f>
        <v>0</v>
      </c>
    </row>
    <row r="9" customFormat="false" ht="19.5" hidden="false" customHeight="true" outlineLevel="0" collapsed="false">
      <c r="B9" s="192"/>
      <c r="C9" s="193"/>
      <c r="D9" s="194"/>
      <c r="E9" s="195" t="n">
        <f aca="false">F9/'A. Start'!$E$5*12</f>
        <v>0</v>
      </c>
      <c r="F9" s="195" t="n">
        <f aca="false">C9*D9</f>
        <v>0</v>
      </c>
      <c r="H9" s="192"/>
      <c r="I9" s="193"/>
      <c r="J9" s="194"/>
      <c r="K9" s="195" t="n">
        <f aca="false">J9*I9*12</f>
        <v>0</v>
      </c>
      <c r="L9" s="195" t="n">
        <f aca="false">K9*'A. Start'!$E$6</f>
        <v>0</v>
      </c>
      <c r="N9" s="192"/>
      <c r="O9" s="193"/>
      <c r="P9" s="194"/>
      <c r="Q9" s="195" t="n">
        <f aca="false">P9*O9</f>
        <v>0</v>
      </c>
      <c r="R9" s="195" t="n">
        <f aca="false">Q9*'A. Start'!$E$6</f>
        <v>0</v>
      </c>
    </row>
    <row r="10" customFormat="false" ht="19.5" hidden="false" customHeight="true" outlineLevel="0" collapsed="false">
      <c r="B10" s="192"/>
      <c r="C10" s="193"/>
      <c r="D10" s="194"/>
      <c r="E10" s="195" t="n">
        <f aca="false">F10/'A. Start'!$E$5*12</f>
        <v>0</v>
      </c>
      <c r="F10" s="195" t="n">
        <f aca="false">C10*D10</f>
        <v>0</v>
      </c>
      <c r="H10" s="192"/>
      <c r="I10" s="193"/>
      <c r="J10" s="194"/>
      <c r="K10" s="195" t="n">
        <f aca="false">J10*I10*12</f>
        <v>0</v>
      </c>
      <c r="L10" s="195" t="n">
        <f aca="false">K10*'A. Start'!$E$6</f>
        <v>0</v>
      </c>
      <c r="N10" s="192"/>
      <c r="O10" s="193"/>
      <c r="P10" s="194"/>
      <c r="Q10" s="195" t="n">
        <f aca="false">P10*O10</f>
        <v>0</v>
      </c>
      <c r="R10" s="195" t="n">
        <f aca="false">Q10*'A. Start'!$E$6</f>
        <v>0</v>
      </c>
    </row>
    <row r="11" customFormat="false" ht="19.5" hidden="false" customHeight="true" outlineLevel="0" collapsed="false">
      <c r="B11" s="192"/>
      <c r="C11" s="193"/>
      <c r="D11" s="194"/>
      <c r="E11" s="195" t="n">
        <f aca="false">F11/'A. Start'!$E$5*12</f>
        <v>0</v>
      </c>
      <c r="F11" s="195" t="n">
        <f aca="false">C11*D11</f>
        <v>0</v>
      </c>
      <c r="H11" s="192"/>
      <c r="I11" s="193"/>
      <c r="J11" s="194"/>
      <c r="K11" s="195" t="n">
        <f aca="false">J11*I11*12</f>
        <v>0</v>
      </c>
      <c r="L11" s="195" t="n">
        <f aca="false">K11*'A. Start'!$E$6</f>
        <v>0</v>
      </c>
      <c r="N11" s="192"/>
      <c r="O11" s="193"/>
      <c r="P11" s="194"/>
      <c r="Q11" s="195" t="n">
        <f aca="false">P11*O11</f>
        <v>0</v>
      </c>
      <c r="R11" s="195" t="n">
        <f aca="false">Q11*'A. Start'!$E$6</f>
        <v>0</v>
      </c>
    </row>
    <row r="12" customFormat="false" ht="19.5" hidden="false" customHeight="true" outlineLevel="0" collapsed="false">
      <c r="B12" s="192"/>
      <c r="C12" s="193"/>
      <c r="D12" s="194"/>
      <c r="E12" s="195" t="n">
        <f aca="false">F12/'A. Start'!$E$5*12</f>
        <v>0</v>
      </c>
      <c r="F12" s="195" t="n">
        <f aca="false">C12*D12</f>
        <v>0</v>
      </c>
      <c r="H12" s="192"/>
      <c r="I12" s="193"/>
      <c r="J12" s="194"/>
      <c r="K12" s="195" t="n">
        <f aca="false">J12*I12*12</f>
        <v>0</v>
      </c>
      <c r="L12" s="195" t="n">
        <f aca="false">K12*'A. Start'!$E$6</f>
        <v>0</v>
      </c>
      <c r="N12" s="192"/>
      <c r="O12" s="193"/>
      <c r="P12" s="194"/>
      <c r="Q12" s="195" t="n">
        <f aca="false">P12*O12</f>
        <v>0</v>
      </c>
      <c r="R12" s="195" t="n">
        <f aca="false">Q12*'A. Start'!$E$6</f>
        <v>0</v>
      </c>
    </row>
    <row r="13" customFormat="false" ht="19.5" hidden="false" customHeight="true" outlineLevel="0" collapsed="false">
      <c r="B13" s="192"/>
      <c r="C13" s="193"/>
      <c r="D13" s="194"/>
      <c r="E13" s="195" t="n">
        <f aca="false">F13/'A. Start'!$E$5*12</f>
        <v>0</v>
      </c>
      <c r="F13" s="195" t="n">
        <f aca="false">C13*D13</f>
        <v>0</v>
      </c>
      <c r="H13" s="192"/>
      <c r="I13" s="193"/>
      <c r="J13" s="194"/>
      <c r="K13" s="195" t="n">
        <f aca="false">J13*I13*12</f>
        <v>0</v>
      </c>
      <c r="L13" s="195" t="n">
        <f aca="false">K13*'A. Start'!$E$6</f>
        <v>0</v>
      </c>
      <c r="N13" s="192"/>
      <c r="O13" s="193"/>
      <c r="P13" s="194"/>
      <c r="Q13" s="195" t="n">
        <f aca="false">P13*O13</f>
        <v>0</v>
      </c>
      <c r="R13" s="195" t="n">
        <f aca="false">Q13*'A. Start'!$E$6</f>
        <v>0</v>
      </c>
    </row>
    <row r="14" customFormat="false" ht="19.5" hidden="false" customHeight="true" outlineLevel="0" collapsed="false">
      <c r="B14" s="192"/>
      <c r="C14" s="193"/>
      <c r="D14" s="194"/>
      <c r="E14" s="195" t="n">
        <f aca="false">F14/'A. Start'!$E$5*12</f>
        <v>0</v>
      </c>
      <c r="F14" s="195" t="n">
        <f aca="false">C14*D14</f>
        <v>0</v>
      </c>
      <c r="H14" s="192"/>
      <c r="I14" s="193"/>
      <c r="J14" s="194"/>
      <c r="K14" s="195" t="n">
        <f aca="false">J14*I14*12</f>
        <v>0</v>
      </c>
      <c r="L14" s="195" t="n">
        <f aca="false">K14*'A. Start'!$E$6</f>
        <v>0</v>
      </c>
      <c r="N14" s="192"/>
      <c r="O14" s="193"/>
      <c r="P14" s="194"/>
      <c r="Q14" s="195" t="n">
        <f aca="false">P14*O14</f>
        <v>0</v>
      </c>
      <c r="R14" s="195" t="n">
        <f aca="false">Q14*'A. Start'!$E$6</f>
        <v>0</v>
      </c>
    </row>
    <row r="15" customFormat="false" ht="19.5" hidden="false" customHeight="true" outlineLevel="0" collapsed="false">
      <c r="B15" s="192"/>
      <c r="C15" s="193"/>
      <c r="D15" s="194"/>
      <c r="E15" s="195" t="n">
        <f aca="false">F15/'A. Start'!$E$5*12</f>
        <v>0</v>
      </c>
      <c r="F15" s="195" t="n">
        <f aca="false">C15*D15</f>
        <v>0</v>
      </c>
      <c r="H15" s="192"/>
      <c r="I15" s="193"/>
      <c r="J15" s="194"/>
      <c r="K15" s="195" t="n">
        <f aca="false">J15*I15*12</f>
        <v>0</v>
      </c>
      <c r="L15" s="195" t="n">
        <f aca="false">K15*'A. Start'!$E$6</f>
        <v>0</v>
      </c>
      <c r="N15" s="192"/>
      <c r="O15" s="193"/>
      <c r="P15" s="194"/>
      <c r="Q15" s="195" t="n">
        <f aca="false">P15*O15</f>
        <v>0</v>
      </c>
      <c r="R15" s="195" t="n">
        <f aca="false">Q15*'A. Start'!$E$6</f>
        <v>0</v>
      </c>
    </row>
    <row r="16" customFormat="false" ht="19.5" hidden="false" customHeight="true" outlineLevel="0" collapsed="false">
      <c r="B16" s="192"/>
      <c r="C16" s="193"/>
      <c r="D16" s="194"/>
      <c r="E16" s="195" t="n">
        <f aca="false">F16/'A. Start'!$E$5*12</f>
        <v>0</v>
      </c>
      <c r="F16" s="195" t="n">
        <f aca="false">C16*D16</f>
        <v>0</v>
      </c>
      <c r="H16" s="192"/>
      <c r="I16" s="193"/>
      <c r="J16" s="194"/>
      <c r="K16" s="195" t="n">
        <f aca="false">J16*I16*12</f>
        <v>0</v>
      </c>
      <c r="L16" s="195" t="n">
        <f aca="false">K16*'A. Start'!$E$6</f>
        <v>0</v>
      </c>
      <c r="N16" s="192"/>
      <c r="O16" s="193"/>
      <c r="P16" s="194"/>
      <c r="Q16" s="195" t="n">
        <f aca="false">P16*O16</f>
        <v>0</v>
      </c>
      <c r="R16" s="195" t="n">
        <f aca="false">Q16*'A. Start'!$E$6</f>
        <v>0</v>
      </c>
    </row>
    <row r="17" customFormat="false" ht="19.5" hidden="false" customHeight="true" outlineLevel="0" collapsed="false">
      <c r="B17" s="192"/>
      <c r="C17" s="193"/>
      <c r="D17" s="194"/>
      <c r="E17" s="195" t="n">
        <f aca="false">F17/'A. Start'!$E$5*12</f>
        <v>0</v>
      </c>
      <c r="F17" s="195" t="n">
        <f aca="false">C17*D17</f>
        <v>0</v>
      </c>
      <c r="H17" s="192"/>
      <c r="I17" s="193"/>
      <c r="J17" s="194"/>
      <c r="K17" s="195" t="n">
        <f aca="false">J17*I17*12</f>
        <v>0</v>
      </c>
      <c r="L17" s="195" t="n">
        <f aca="false">K17*'A. Start'!$E$6</f>
        <v>0</v>
      </c>
      <c r="N17" s="192"/>
      <c r="O17" s="193"/>
      <c r="P17" s="194"/>
      <c r="Q17" s="195" t="n">
        <f aca="false">P17*O17</f>
        <v>0</v>
      </c>
      <c r="R17" s="195" t="n">
        <f aca="false">Q17*'A. Start'!$E$6</f>
        <v>0</v>
      </c>
    </row>
    <row r="18" customFormat="false" ht="19.5" hidden="false" customHeight="true" outlineLevel="0" collapsed="false">
      <c r="B18" s="192"/>
      <c r="C18" s="193"/>
      <c r="D18" s="194"/>
      <c r="E18" s="195" t="n">
        <f aca="false">F18/'A. Start'!$E$5*12</f>
        <v>0</v>
      </c>
      <c r="F18" s="195" t="n">
        <f aca="false">C18*D18</f>
        <v>0</v>
      </c>
      <c r="H18" s="192"/>
      <c r="I18" s="193"/>
      <c r="J18" s="194"/>
      <c r="K18" s="195" t="n">
        <f aca="false">J18*I18*12</f>
        <v>0</v>
      </c>
      <c r="L18" s="195" t="n">
        <f aca="false">K18*'A. Start'!$E$6</f>
        <v>0</v>
      </c>
      <c r="N18" s="192"/>
      <c r="O18" s="193"/>
      <c r="P18" s="194"/>
      <c r="Q18" s="195" t="n">
        <f aca="false">P18*O18</f>
        <v>0</v>
      </c>
      <c r="R18" s="195" t="n">
        <f aca="false">Q18*'A. Start'!$E$6</f>
        <v>0</v>
      </c>
    </row>
    <row r="19" customFormat="false" ht="19.5" hidden="false" customHeight="true" outlineLevel="0" collapsed="false">
      <c r="B19" s="192"/>
      <c r="C19" s="193"/>
      <c r="D19" s="194"/>
      <c r="E19" s="195" t="n">
        <f aca="false">F19/'A. Start'!$E$5*12</f>
        <v>0</v>
      </c>
      <c r="F19" s="195" t="n">
        <f aca="false">C19*D19</f>
        <v>0</v>
      </c>
      <c r="H19" s="192"/>
      <c r="I19" s="193"/>
      <c r="J19" s="194"/>
      <c r="K19" s="195" t="n">
        <f aca="false">J19*I19*12</f>
        <v>0</v>
      </c>
      <c r="L19" s="195" t="n">
        <f aca="false">K19*'A. Start'!$E$6</f>
        <v>0</v>
      </c>
      <c r="N19" s="192"/>
      <c r="O19" s="193"/>
      <c r="P19" s="194"/>
      <c r="Q19" s="195" t="n">
        <f aca="false">P19*O19</f>
        <v>0</v>
      </c>
      <c r="R19" s="195" t="n">
        <f aca="false">Q19*'A. Start'!$E$6</f>
        <v>0</v>
      </c>
    </row>
    <row r="20" customFormat="false" ht="19.5" hidden="false" customHeight="true" outlineLevel="0" collapsed="false">
      <c r="B20" s="121" t="s">
        <v>167</v>
      </c>
      <c r="C20" s="121"/>
      <c r="D20" s="121"/>
      <c r="E20" s="196" t="n">
        <f aca="false">SUM(E5:E19)</f>
        <v>173481.2</v>
      </c>
      <c r="F20" s="196" t="n">
        <f aca="false">SUM(F5:F19)</f>
        <v>867406</v>
      </c>
      <c r="H20" s="121" t="s">
        <v>167</v>
      </c>
      <c r="I20" s="121"/>
      <c r="J20" s="121"/>
      <c r="K20" s="196" t="n">
        <f aca="false">SUM(K5:K19)</f>
        <v>1140600</v>
      </c>
      <c r="L20" s="196" t="n">
        <f aca="false">SUM(L5:L19)</f>
        <v>5703000</v>
      </c>
      <c r="N20" s="121" t="s">
        <v>167</v>
      </c>
      <c r="O20" s="121"/>
      <c r="P20" s="121"/>
      <c r="Q20" s="196" t="n">
        <f aca="false">SUM(Q5:Q19)</f>
        <v>96000</v>
      </c>
      <c r="R20" s="196" t="n">
        <f aca="false">SUM(R5:R19)</f>
        <v>480000</v>
      </c>
    </row>
    <row r="21" customFormat="false" ht="9.75" hidden="false" customHeight="true" outlineLevel="0" collapsed="false">
      <c r="B21" s="197"/>
      <c r="C21" s="197"/>
      <c r="D21" s="197"/>
      <c r="E21" s="197"/>
      <c r="F21" s="197"/>
      <c r="H21" s="198"/>
      <c r="I21" s="198"/>
      <c r="J21" s="198"/>
      <c r="K21" s="198"/>
      <c r="L21" s="198"/>
      <c r="N21" s="198"/>
      <c r="O21" s="198"/>
      <c r="P21" s="198"/>
      <c r="Q21" s="198"/>
      <c r="R21" s="198"/>
    </row>
    <row r="22" customFormat="false" ht="19.5" hidden="false" customHeight="true" outlineLevel="0" collapsed="false">
      <c r="B22" s="199" t="s">
        <v>168</v>
      </c>
      <c r="C22" s="135" t="n">
        <v>1</v>
      </c>
      <c r="D22" s="194" t="n">
        <v>100000</v>
      </c>
      <c r="E22" s="196" t="n">
        <f aca="false">F22/'A. Start'!$E$5*12</f>
        <v>20000</v>
      </c>
      <c r="F22" s="196" t="n">
        <f aca="false">C22*D22</f>
        <v>100000</v>
      </c>
      <c r="H22" s="188"/>
      <c r="J22" s="200"/>
      <c r="K22" s="200"/>
      <c r="L22" s="200"/>
      <c r="N22" s="188"/>
      <c r="P22" s="200"/>
      <c r="Q22" s="200"/>
      <c r="R22" s="200"/>
    </row>
    <row r="23" s="26" customFormat="true" ht="30" hidden="false" customHeight="true" outlineLevel="0" collapsed="false">
      <c r="B23" s="187"/>
      <c r="C23" s="187"/>
      <c r="D23" s="187"/>
      <c r="E23" s="187"/>
      <c r="F23" s="187"/>
    </row>
    <row r="24" customFormat="false" ht="30" hidden="false" customHeight="true" outlineLevel="0" collapsed="false">
      <c r="H24" s="201"/>
      <c r="I24" s="201"/>
      <c r="J24" s="202"/>
      <c r="K24" s="202"/>
      <c r="L24" s="202"/>
      <c r="N24" s="201"/>
      <c r="O24" s="201"/>
      <c r="P24" s="202"/>
      <c r="Q24" s="202"/>
      <c r="R24" s="202"/>
    </row>
    <row r="25" customFormat="false" ht="19.5" hidden="false" customHeight="true" outlineLevel="0" collapsed="false">
      <c r="H25" s="203"/>
      <c r="I25" s="203"/>
      <c r="J25" s="204"/>
      <c r="K25" s="200"/>
      <c r="L25" s="200"/>
      <c r="N25" s="203"/>
      <c r="O25" s="203"/>
      <c r="P25" s="204"/>
      <c r="Q25" s="200"/>
      <c r="R25" s="200"/>
    </row>
    <row r="26" customFormat="false" ht="19.5" hidden="false" customHeight="true" outlineLevel="0" collapsed="false">
      <c r="H26" s="203"/>
      <c r="I26" s="203"/>
      <c r="J26" s="200"/>
      <c r="K26" s="200"/>
      <c r="L26" s="200"/>
      <c r="N26" s="203"/>
      <c r="O26" s="203"/>
      <c r="P26" s="200"/>
      <c r="Q26" s="200"/>
      <c r="R26" s="200"/>
    </row>
    <row r="27" customFormat="false" ht="19.5" hidden="false" customHeight="true" outlineLevel="0" collapsed="false">
      <c r="H27" s="203"/>
      <c r="I27" s="203"/>
      <c r="J27" s="200"/>
      <c r="K27" s="200"/>
      <c r="L27" s="200"/>
      <c r="N27" s="203"/>
      <c r="O27" s="203"/>
      <c r="P27" s="200"/>
      <c r="Q27" s="200"/>
      <c r="R27" s="200"/>
    </row>
    <row r="28" customFormat="false" ht="19.5" hidden="false" customHeight="true" outlineLevel="0" collapsed="false">
      <c r="H28" s="203"/>
      <c r="I28" s="203"/>
      <c r="J28" s="200"/>
      <c r="K28" s="200"/>
      <c r="L28" s="200"/>
      <c r="N28" s="203"/>
      <c r="O28" s="203"/>
      <c r="P28" s="200"/>
      <c r="Q28" s="200"/>
      <c r="R28" s="200"/>
    </row>
    <row r="29" customFormat="false" ht="19.5" hidden="false" customHeight="true" outlineLevel="0" collapsed="false">
      <c r="H29" s="203"/>
      <c r="I29" s="203"/>
      <c r="J29" s="200"/>
      <c r="K29" s="200"/>
      <c r="L29" s="200"/>
      <c r="N29" s="203"/>
      <c r="O29" s="203"/>
      <c r="P29" s="200"/>
      <c r="Q29" s="200"/>
      <c r="R29" s="200"/>
    </row>
    <row r="30" customFormat="false" ht="19.5" hidden="false" customHeight="true" outlineLevel="0" collapsed="false">
      <c r="H30" s="203"/>
      <c r="I30" s="203"/>
      <c r="J30" s="200"/>
      <c r="K30" s="200"/>
      <c r="L30" s="200"/>
      <c r="N30" s="203"/>
      <c r="O30" s="203"/>
      <c r="P30" s="200"/>
      <c r="Q30" s="200"/>
      <c r="R30" s="200"/>
    </row>
    <row r="31" customFormat="false" ht="19.5" hidden="false" customHeight="true" outlineLevel="0" collapsed="false">
      <c r="H31" s="203"/>
      <c r="I31" s="203"/>
      <c r="J31" s="200"/>
      <c r="K31" s="200"/>
      <c r="L31" s="200"/>
      <c r="N31" s="203"/>
      <c r="O31" s="203"/>
      <c r="P31" s="200"/>
      <c r="Q31" s="200"/>
      <c r="R31" s="200"/>
    </row>
    <row r="32" customFormat="false" ht="19.5" hidden="false" customHeight="true" outlineLevel="0" collapsed="false">
      <c r="H32" s="203"/>
      <c r="I32" s="203"/>
      <c r="J32" s="200"/>
      <c r="K32" s="200"/>
      <c r="L32" s="200"/>
      <c r="N32" s="203"/>
      <c r="O32" s="203"/>
      <c r="P32" s="200"/>
      <c r="Q32" s="200"/>
      <c r="R32" s="200"/>
    </row>
    <row r="33" customFormat="false" ht="19.5" hidden="false" customHeight="true" outlineLevel="0" collapsed="false">
      <c r="H33" s="203"/>
      <c r="I33" s="203"/>
      <c r="J33" s="200"/>
      <c r="K33" s="200"/>
      <c r="L33" s="200"/>
      <c r="N33" s="203"/>
      <c r="O33" s="203"/>
      <c r="P33" s="200"/>
      <c r="Q33" s="200"/>
      <c r="R33" s="200"/>
    </row>
    <row r="34" customFormat="false" ht="19.5" hidden="false" customHeight="true" outlineLevel="0" collapsed="false">
      <c r="H34" s="203"/>
      <c r="I34" s="203"/>
      <c r="J34" s="200"/>
      <c r="K34" s="200"/>
      <c r="L34" s="200"/>
      <c r="N34" s="203"/>
      <c r="O34" s="203"/>
      <c r="P34" s="200"/>
      <c r="Q34" s="200"/>
      <c r="R34" s="200"/>
    </row>
    <row r="35" customFormat="false" ht="19.5" hidden="false" customHeight="true" outlineLevel="0" collapsed="false">
      <c r="H35" s="203"/>
      <c r="I35" s="203"/>
      <c r="J35" s="200"/>
      <c r="K35" s="200"/>
      <c r="L35" s="200"/>
      <c r="N35" s="203"/>
      <c r="O35" s="203"/>
      <c r="P35" s="200"/>
      <c r="Q35" s="200"/>
      <c r="R35" s="200"/>
    </row>
    <row r="36" customFormat="false" ht="19.5" hidden="false" customHeight="true" outlineLevel="0" collapsed="false">
      <c r="H36" s="203"/>
      <c r="I36" s="203"/>
      <c r="J36" s="200"/>
      <c r="K36" s="200"/>
      <c r="L36" s="200"/>
      <c r="N36" s="203"/>
      <c r="O36" s="203"/>
      <c r="P36" s="200"/>
      <c r="Q36" s="200"/>
      <c r="R36" s="200"/>
    </row>
    <row r="37" customFormat="false" ht="19.5" hidden="false" customHeight="true" outlineLevel="0" collapsed="false">
      <c r="H37" s="203"/>
      <c r="I37" s="203"/>
      <c r="J37" s="200"/>
      <c r="K37" s="200"/>
      <c r="L37" s="200"/>
      <c r="N37" s="203"/>
      <c r="O37" s="203"/>
      <c r="P37" s="200"/>
      <c r="Q37" s="200"/>
      <c r="R37" s="200"/>
    </row>
    <row r="38" customFormat="false" ht="19.5" hidden="false" customHeight="true" outlineLevel="0" collapsed="false">
      <c r="H38" s="203"/>
      <c r="I38" s="203"/>
      <c r="J38" s="200"/>
      <c r="K38" s="200"/>
      <c r="L38" s="200"/>
      <c r="N38" s="203"/>
      <c r="O38" s="203"/>
      <c r="P38" s="200"/>
      <c r="Q38" s="200"/>
      <c r="R38" s="200"/>
    </row>
    <row r="39" customFormat="false" ht="19.5" hidden="false" customHeight="true" outlineLevel="0" collapsed="false">
      <c r="H39" s="203"/>
      <c r="I39" s="203"/>
      <c r="J39" s="200"/>
      <c r="K39" s="200"/>
      <c r="L39" s="200"/>
      <c r="N39" s="203"/>
      <c r="O39" s="203"/>
      <c r="P39" s="200"/>
      <c r="Q39" s="200"/>
      <c r="R39" s="200"/>
    </row>
    <row r="40" customFormat="false" ht="19.5" hidden="false" customHeight="true" outlineLevel="0" collapsed="false">
      <c r="H40" s="203"/>
      <c r="I40" s="203"/>
      <c r="J40" s="200"/>
      <c r="K40" s="200"/>
      <c r="L40" s="200"/>
      <c r="N40" s="203"/>
      <c r="O40" s="203"/>
      <c r="P40" s="200"/>
      <c r="Q40" s="200"/>
      <c r="R40" s="200"/>
    </row>
    <row r="41" customFormat="false" ht="19.5" hidden="false" customHeight="true" outlineLevel="0" collapsed="false">
      <c r="H41" s="203"/>
      <c r="I41" s="203"/>
      <c r="J41" s="200"/>
      <c r="K41" s="200"/>
      <c r="L41" s="200"/>
      <c r="N41" s="203"/>
      <c r="O41" s="203"/>
      <c r="P41" s="200"/>
      <c r="Q41" s="200"/>
      <c r="R41" s="200"/>
    </row>
    <row r="42" customFormat="false" ht="19.5" hidden="false" customHeight="true" outlineLevel="0" collapsed="false">
      <c r="H42" s="203"/>
      <c r="I42" s="203"/>
      <c r="J42" s="200"/>
      <c r="K42" s="200"/>
      <c r="L42" s="200"/>
      <c r="N42" s="203"/>
      <c r="O42" s="203"/>
      <c r="P42" s="200"/>
      <c r="Q42" s="200"/>
      <c r="R42" s="200"/>
    </row>
    <row r="43" customFormat="false" ht="19.5" hidden="false" customHeight="true" outlineLevel="0" collapsed="false">
      <c r="H43" s="203"/>
      <c r="I43" s="203"/>
      <c r="J43" s="200"/>
      <c r="K43" s="200"/>
      <c r="L43" s="200"/>
      <c r="N43" s="203"/>
      <c r="O43" s="203"/>
      <c r="P43" s="200"/>
      <c r="Q43" s="200"/>
      <c r="R43" s="200"/>
    </row>
    <row r="44" customFormat="false" ht="19.5" hidden="false" customHeight="true" outlineLevel="0" collapsed="false">
      <c r="H44" s="203"/>
      <c r="I44" s="203"/>
      <c r="J44" s="200"/>
      <c r="K44" s="200"/>
      <c r="L44" s="200"/>
      <c r="N44" s="203"/>
      <c r="O44" s="203"/>
      <c r="P44" s="200"/>
      <c r="Q44" s="200"/>
      <c r="R44" s="200"/>
    </row>
    <row r="45" customFormat="false" ht="19.5" hidden="false" customHeight="true" outlineLevel="0" collapsed="false">
      <c r="H45" s="205"/>
      <c r="I45" s="205"/>
      <c r="J45" s="205"/>
      <c r="K45" s="206"/>
      <c r="L45" s="206"/>
      <c r="N45" s="205"/>
      <c r="O45" s="205"/>
      <c r="P45" s="205"/>
      <c r="Q45" s="206"/>
      <c r="R45" s="206"/>
    </row>
    <row r="46" customFormat="false" ht="19.5" hidden="false" customHeight="true" outlineLevel="0" collapsed="false"/>
  </sheetData>
  <mergeCells count="3">
    <mergeCell ref="B20:D20"/>
    <mergeCell ref="H20:J20"/>
    <mergeCell ref="N20:P20"/>
  </mergeCells>
  <conditionalFormatting sqref="O5:O19">
    <cfRule type="expression" priority="2" aboveAverage="0" equalAverage="0" bottom="0" percent="0" rank="0" text="" dxfId="0">
      <formula>AND(#ref!&lt;&gt;"xxx",#ref!=0)</formula>
    </cfRule>
  </conditionalFormatting>
  <conditionalFormatting sqref="P5:P19">
    <cfRule type="expression" priority="3" aboveAverage="0" equalAverage="0" bottom="0" percent="0" rank="0" text="" dxfId="1">
      <formula>#ref!="x"</formula>
    </cfRule>
  </conditionalFormatting>
  <conditionalFormatting sqref="C5:C19 C22 I5:I19">
    <cfRule type="expression" priority="4" aboveAverage="0" equalAverage="0" bottom="0" percent="0" rank="0" text="" dxfId="0">
      <formula>AND(#ref!&lt;&gt;"xxx",#ref!=0)</formula>
    </cfRule>
  </conditionalFormatting>
  <conditionalFormatting sqref="D5:D19 D22 J5:J19">
    <cfRule type="expression" priority="5" aboveAverage="0" equalAverage="0" bottom="0" percent="0" rank="0" text="" dxfId="1">
      <formula>#ref!="x"</formula>
    </cfRule>
  </conditionalFormatting>
  <conditionalFormatting sqref="J22 J26:J44 P22 P26:P44">
    <cfRule type="expression" priority="6" aboveAverage="0" equalAverage="0" bottom="0" percent="0" rank="0" text="" dxfId="1">
      <formula>$O22="x"</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348B"/>
    <pageSetUpPr fitToPage="false"/>
  </sheetPr>
  <dimension ref="A1:H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8" activeCellId="0" sqref="E8"/>
    </sheetView>
  </sheetViews>
  <sheetFormatPr defaultColWidth="11.5625" defaultRowHeight="14.25" zeroHeight="false" outlineLevelRow="0" outlineLevelCol="0"/>
  <cols>
    <col collapsed="false" customWidth="true" hidden="false" outlineLevel="0" max="1" min="1" style="32" width="6"/>
    <col collapsed="false" customWidth="true" hidden="false" outlineLevel="0" max="2" min="2" style="32" width="40.77"/>
    <col collapsed="false" customWidth="true" hidden="false" outlineLevel="0" max="3" min="3" style="32" width="28.11"/>
    <col collapsed="false" customWidth="true" hidden="false" outlineLevel="0" max="6" min="4" style="32" width="24.33"/>
    <col collapsed="false" customWidth="true" hidden="false" outlineLevel="0" max="7" min="7" style="32" width="18.88"/>
    <col collapsed="false" customWidth="true" hidden="false" outlineLevel="0" max="8" min="8" style="32" width="17.77"/>
    <col collapsed="false" customWidth="false" hidden="false" outlineLevel="0" max="16384" min="9" style="32" width="11.56"/>
  </cols>
  <sheetData>
    <row r="1" s="86" customFormat="true" ht="29.25" hidden="false" customHeight="true" outlineLevel="0" collapsed="false">
      <c r="B1" s="207" t="s">
        <v>169</v>
      </c>
      <c r="C1" s="35" t="str">
        <f aca="false">_xlfn.TEXTJOIN(" / ",TRUE(),'A. Start'!B8,'A. Start'!B9)</f>
        <v>VIAS / LOG</v>
      </c>
      <c r="E1" s="208" t="s">
        <v>170</v>
      </c>
      <c r="F1" s="209" t="n">
        <f aca="false">'A. Start'!E8</f>
        <v>46111</v>
      </c>
    </row>
    <row r="3" s="40" customFormat="true" ht="21" hidden="false" customHeight="true" outlineLevel="0" collapsed="false">
      <c r="B3" s="210" t="str">
        <f aca="false">'A. Start'!A3</f>
        <v>Projektname</v>
      </c>
      <c r="C3" s="211" t="str">
        <f aca="false">'A. Start'!B3</f>
        <v>Testkalkulation Kombinationen</v>
      </c>
      <c r="D3" s="212"/>
      <c r="E3" s="213" t="str">
        <f aca="false">'A. Start'!D3</f>
        <v>Start Leistung</v>
      </c>
      <c r="F3" s="214" t="n">
        <f aca="false">'A. Start'!E3</f>
        <v>46492</v>
      </c>
    </row>
    <row r="4" s="40" customFormat="true" ht="21" hidden="false" customHeight="true" outlineLevel="0" collapsed="false">
      <c r="B4" s="215" t="str">
        <f aca="false">'A. Start'!A4</f>
        <v>Kundenname</v>
      </c>
      <c r="C4" s="216" t="str">
        <f aca="false">'A. Start'!B4</f>
        <v>Testkunde</v>
      </c>
      <c r="D4" s="217"/>
      <c r="E4" s="218" t="str">
        <f aca="false">'A. Start'!D4</f>
        <v>Ende Leistung</v>
      </c>
      <c r="F4" s="219" t="n">
        <f aca="false">'A. Start'!E4</f>
        <v>48318</v>
      </c>
    </row>
    <row r="5" s="40" customFormat="true" ht="21" hidden="false" customHeight="true" outlineLevel="0" collapsed="false">
      <c r="B5" s="220" t="str">
        <f aca="false">'A. Start'!A5</f>
        <v>Projektstandort</v>
      </c>
      <c r="C5" s="221" t="str">
        <f aca="false">'A. Start'!B5</f>
        <v>UT</v>
      </c>
      <c r="D5" s="222"/>
      <c r="E5" s="223" t="str">
        <f aca="false">'A. Start'!D5</f>
        <v>Laufzeit [Monate]</v>
      </c>
      <c r="F5" s="224" t="n">
        <f aca="false">'A. Start'!E5</f>
        <v>60</v>
      </c>
    </row>
    <row r="6" customFormat="false" ht="12.75" hidden="false" customHeight="true" outlineLevel="0" collapsed="false"/>
    <row r="7" customFormat="false" ht="21" hidden="false" customHeight="true" outlineLevel="0" collapsed="false">
      <c r="B7" s="225" t="s">
        <v>171</v>
      </c>
      <c r="C7" s="226" t="n">
        <f aca="false">'B. Basisdaten'!C8</f>
        <v>0.05</v>
      </c>
      <c r="D7" s="227"/>
      <c r="E7" s="228" t="str">
        <f aca="false">'B. Basisdaten'!B4</f>
        <v>Gewinn</v>
      </c>
      <c r="F7" s="229" t="n">
        <f aca="false">'B. Basisdaten'!C4</f>
        <v>0.05</v>
      </c>
    </row>
    <row r="8" customFormat="false" ht="21" hidden="false" customHeight="true" outlineLevel="0" collapsed="false">
      <c r="B8" s="230" t="s">
        <v>172</v>
      </c>
      <c r="C8" s="231" t="n">
        <f aca="false">'B. Basisdaten'!C9</f>
        <v>0.025</v>
      </c>
      <c r="D8" s="232"/>
      <c r="E8" s="233" t="str">
        <f aca="false">'B. Basisdaten'!B5</f>
        <v>Risiko (Leadec Global C2 = 1,00%)</v>
      </c>
      <c r="F8" s="234" t="n">
        <f aca="false">'B. Basisdaten'!C5</f>
        <v>0.01</v>
      </c>
    </row>
    <row r="9" customFormat="false" ht="21" hidden="false" customHeight="true" outlineLevel="0" collapsed="false">
      <c r="B9" s="235" t="s">
        <v>173</v>
      </c>
      <c r="C9" s="236" t="n">
        <f aca="false">'B. Basisdaten'!C10</f>
        <v>0.02</v>
      </c>
      <c r="D9" s="237"/>
      <c r="E9" s="238" t="str">
        <f aca="false">'B. Basisdaten'!B13</f>
        <v>Verhandlungsmarge</v>
      </c>
      <c r="F9" s="236" t="n">
        <f aca="false">'B. Basisdaten'!C13</f>
        <v>0.06</v>
      </c>
    </row>
    <row r="10" customFormat="false" ht="12.75" hidden="false" customHeight="true" outlineLevel="0" collapsed="false">
      <c r="E10" s="239" t="s">
        <v>174</v>
      </c>
      <c r="F10" s="239" t="s">
        <v>175</v>
      </c>
      <c r="G10" s="239" t="s">
        <v>124</v>
      </c>
    </row>
    <row r="11" customFormat="false" ht="21" hidden="false" customHeight="true" outlineLevel="0" collapsed="false">
      <c r="B11" s="240" t="s">
        <v>176</v>
      </c>
      <c r="C11" s="241" t="n">
        <f aca="false">D30</f>
        <v>3818013.24980544</v>
      </c>
      <c r="D11" s="242" t="s">
        <v>177</v>
      </c>
      <c r="E11" s="243" t="n">
        <f aca="false">'I-1. FTE-Gehälter'!C33</f>
        <v>4.5</v>
      </c>
      <c r="F11" s="244" t="n">
        <f aca="false">'I-1. FTE-Gehälter'!F33</f>
        <v>4.9</v>
      </c>
      <c r="G11" s="245" t="n">
        <f aca="false">'I-1. FTE-Gehälter'!AF33</f>
        <v>7949.76</v>
      </c>
    </row>
    <row r="12" customFormat="false" ht="21" hidden="false" customHeight="true" outlineLevel="0" collapsed="false">
      <c r="B12" s="246" t="s">
        <v>178</v>
      </c>
      <c r="C12" s="247" t="n">
        <f aca="false">E30</f>
        <v>19090066.2490272</v>
      </c>
      <c r="D12" s="248" t="s">
        <v>179</v>
      </c>
      <c r="E12" s="249" t="n">
        <f aca="false">'I-2. FTE-Löhne'!C33</f>
        <v>18.1625</v>
      </c>
      <c r="F12" s="250" t="n">
        <f aca="false">'I-2. FTE-Löhne'!F33</f>
        <v>21.38816</v>
      </c>
      <c r="G12" s="251" t="n">
        <f aca="false">'I-2. FTE-Löhne'!AF33</f>
        <v>35589.89824</v>
      </c>
    </row>
    <row r="13" customFormat="false" ht="21" hidden="false" customHeight="true" outlineLevel="0" collapsed="false">
      <c r="B13" s="252" t="s">
        <v>180</v>
      </c>
      <c r="C13" s="253" t="n">
        <f aca="false">C11/E13</f>
        <v>168472.730272717</v>
      </c>
      <c r="D13" s="254" t="s">
        <v>181</v>
      </c>
      <c r="E13" s="255" t="n">
        <f aca="false">E12+E11</f>
        <v>22.6625</v>
      </c>
      <c r="F13" s="256" t="n">
        <f aca="false">F12+F11</f>
        <v>26.28816</v>
      </c>
      <c r="G13" s="257" t="n">
        <f aca="false">G12+G11</f>
        <v>43539.65824</v>
      </c>
    </row>
    <row r="16" customFormat="false" ht="16.5" hidden="false" customHeight="true" outlineLevel="0" collapsed="false">
      <c r="B16" s="90" t="s">
        <v>169</v>
      </c>
      <c r="C16" s="258" t="s">
        <v>182</v>
      </c>
      <c r="D16" s="258" t="s">
        <v>183</v>
      </c>
      <c r="E16" s="258" t="s">
        <v>184</v>
      </c>
      <c r="F16" s="258" t="s">
        <v>185</v>
      </c>
    </row>
    <row r="17" customFormat="false" ht="16.5" hidden="false" customHeight="true" outlineLevel="0" collapsed="false">
      <c r="B17" s="259" t="str">
        <f aca="false">'I-1. FTE-Gehälter'!B1</f>
        <v>I-1. Personalkosten Gehälter</v>
      </c>
      <c r="C17" s="260" t="n">
        <f aca="false">E17/$E$25</f>
        <v>0.130205949725555</v>
      </c>
      <c r="D17" s="139" t="n">
        <f aca="false">'I-1. FTE-Gehälter'!AG33</f>
        <v>439262.337253509</v>
      </c>
      <c r="E17" s="139" t="n">
        <f aca="false">D17*($F$5/12)</f>
        <v>2196311.68626755</v>
      </c>
      <c r="F17" s="139" t="n">
        <f aca="false">D17/G11</f>
        <v>55.2547922520314</v>
      </c>
      <c r="G17" s="261" t="n">
        <v>2382312.87848379</v>
      </c>
    </row>
    <row r="18" customFormat="false" ht="16.5" hidden="false" customHeight="true" outlineLevel="0" collapsed="false">
      <c r="B18" s="259" t="str">
        <f aca="false">'I-2. FTE-Löhne'!B1</f>
        <v>I-2. Personalkosten Löhne</v>
      </c>
      <c r="C18" s="260" t="n">
        <f aca="false">E18/$E$25</f>
        <v>0.344826177188372</v>
      </c>
      <c r="D18" s="139" t="n">
        <f aca="false">'I-2. FTE-Löhne'!AG33</f>
        <v>1163304.38706695</v>
      </c>
      <c r="E18" s="139" t="n">
        <f aca="false">D18*($F$5/12)</f>
        <v>5816521.93533476</v>
      </c>
      <c r="F18" s="139" t="n">
        <f aca="false">D18/G12</f>
        <v>32.6863645190055</v>
      </c>
      <c r="G18" s="261" t="n">
        <v>8446695.40884318</v>
      </c>
    </row>
    <row r="19" customFormat="false" ht="16.5" hidden="false" customHeight="true" outlineLevel="0" collapsed="false">
      <c r="B19" s="259" t="str">
        <f aca="false">'II. Sachkosten'!B3</f>
        <v>II-1. Investitionen/Einmalkosten</v>
      </c>
      <c r="C19" s="260" t="n">
        <f aca="false">E19/$E$25</f>
        <v>0.0514232213641677</v>
      </c>
      <c r="D19" s="139" t="n">
        <f aca="false">'II. Sachkosten'!E20</f>
        <v>173481.2</v>
      </c>
      <c r="E19" s="139" t="n">
        <f aca="false">'II. Sachkosten'!F20</f>
        <v>867406</v>
      </c>
      <c r="F19" s="139" t="n">
        <f aca="false">D19/$G$13</f>
        <v>3.9844410133799</v>
      </c>
    </row>
    <row r="20" customFormat="false" ht="16.5" hidden="false" customHeight="true" outlineLevel="0" collapsed="false">
      <c r="B20" s="262" t="str">
        <f aca="false">'II. Sachkosten'!H3</f>
        <v>II-2. Monatliche Betriebskosten/Verbräuche</v>
      </c>
      <c r="C20" s="260" t="n">
        <f aca="false">E20/$E$25</f>
        <v>0.338096152712627</v>
      </c>
      <c r="D20" s="139" t="n">
        <f aca="false">'II. Sachkosten'!K20</f>
        <v>1140600</v>
      </c>
      <c r="E20" s="139" t="n">
        <f aca="false">'II. Sachkosten'!L20</f>
        <v>5703000</v>
      </c>
      <c r="F20" s="137" t="n">
        <f aca="false">D20/$G$13</f>
        <v>26.1968064543081</v>
      </c>
    </row>
    <row r="21" customFormat="false" ht="16.5" hidden="false" customHeight="true" outlineLevel="0" collapsed="false">
      <c r="B21" s="259" t="str">
        <f aca="false">'II. Sachkosten'!N3</f>
        <v>II-4. Nachunternehmerleistung</v>
      </c>
      <c r="C21" s="260" t="n">
        <f aca="false">E21/$E$25</f>
        <v>0.028456277976865</v>
      </c>
      <c r="D21" s="139" t="n">
        <f aca="false">'II. Sachkosten'!Q20</f>
        <v>96000</v>
      </c>
      <c r="E21" s="139" t="n">
        <f aca="false">'II. Sachkosten'!R20</f>
        <v>480000</v>
      </c>
      <c r="F21" s="137" t="n">
        <f aca="false">D21/$G$13</f>
        <v>2.20488639278763</v>
      </c>
    </row>
    <row r="22" customFormat="false" ht="16.5" hidden="false" customHeight="true" outlineLevel="0" collapsed="false">
      <c r="B22" s="259" t="str">
        <f aca="false">'II. Sachkosten'!B22</f>
        <v>II-5. Ramp-Up Gesamtkosten</v>
      </c>
      <c r="C22" s="260" t="n">
        <f aca="false">E22/$E$25</f>
        <v>0.0059283912451802</v>
      </c>
      <c r="D22" s="139" t="n">
        <f aca="false">'II. Sachkosten'!E22</f>
        <v>20000</v>
      </c>
      <c r="E22" s="139" t="n">
        <f aca="false">'II. Sachkosten'!F22</f>
        <v>100000</v>
      </c>
      <c r="F22" s="137" t="n">
        <f aca="false">D22/$G$13</f>
        <v>0.459351331830757</v>
      </c>
    </row>
    <row r="23" customFormat="false" ht="16.5" hidden="false" customHeight="true" outlineLevel="0" collapsed="false">
      <c r="B23" s="263" t="s">
        <v>186</v>
      </c>
      <c r="C23" s="264" t="n">
        <f aca="false">E23/$E$25</f>
        <v>0.898936170212766</v>
      </c>
      <c r="D23" s="265" t="n">
        <f aca="false">SUM(D17:D22)</f>
        <v>3032647.92432046</v>
      </c>
      <c r="E23" s="265" t="n">
        <f aca="false">SUM(E17:E22)</f>
        <v>15163239.6216023</v>
      </c>
      <c r="F23" s="266" t="n">
        <f aca="false">D23/$G$13</f>
        <v>69.6525431505192</v>
      </c>
      <c r="G23" s="267"/>
      <c r="H23" s="267"/>
    </row>
    <row r="24" customFormat="false" ht="16.5" hidden="false" customHeight="true" outlineLevel="0" collapsed="false">
      <c r="A24" s="32" t="n">
        <f aca="false">E24/E28</f>
        <v>0.095</v>
      </c>
      <c r="B24" s="268" t="s">
        <v>187</v>
      </c>
      <c r="C24" s="260" t="n">
        <f aca="false">E24/$E$25</f>
        <v>0.101063829787234</v>
      </c>
      <c r="D24" s="139" t="n">
        <f aca="false">(D23/(1-$F$7-$F$8-SUM($C$7:$C$9))*SUM($C$7:$C$9))</f>
        <v>340948.583207626</v>
      </c>
      <c r="E24" s="139" t="n">
        <f aca="false">(E23/(1-$F$7-$F$8-SUM($C$7:$C$9))*SUM($C$7:$C$9))</f>
        <v>1704742.91603813</v>
      </c>
      <c r="F24" s="137" t="n">
        <f aca="false">D24/$G$13</f>
        <v>7.83075928911163</v>
      </c>
      <c r="G24" s="261" t="n">
        <v>2665898.50295564</v>
      </c>
    </row>
    <row r="25" customFormat="false" ht="16.5" hidden="false" customHeight="true" outlineLevel="0" collapsed="false">
      <c r="B25" s="263" t="s">
        <v>188</v>
      </c>
      <c r="C25" s="264" t="n">
        <f aca="false">E25/$E$25</f>
        <v>1</v>
      </c>
      <c r="D25" s="265" t="n">
        <f aca="false">D23+D24</f>
        <v>3373596.50752809</v>
      </c>
      <c r="E25" s="265" t="n">
        <f aca="false">E23+E24</f>
        <v>16867982.5376404</v>
      </c>
      <c r="F25" s="266" t="n">
        <f aca="false">D25/$G$13</f>
        <v>77.4833024396309</v>
      </c>
      <c r="G25" s="261"/>
    </row>
    <row r="26" customFormat="false" ht="16.5" hidden="false" customHeight="true" outlineLevel="0" collapsed="false">
      <c r="B26" s="268" t="s">
        <v>51</v>
      </c>
      <c r="C26" s="260" t="n">
        <f aca="false">E26/$E$28</f>
        <v>0.05</v>
      </c>
      <c r="D26" s="139" t="n">
        <f aca="false">(D23/(1-$F$7-$F$8-SUM($C$7:$C$9))*$F$7)</f>
        <v>179446.622740856</v>
      </c>
      <c r="E26" s="139" t="n">
        <f aca="false">(E23/(1-$F$7-$F$8-SUM($C$7:$C$9))*$F$7)</f>
        <v>897233.113704278</v>
      </c>
      <c r="F26" s="137" t="n">
        <f aca="false">D26/$G$13</f>
        <v>4.12145225742717</v>
      </c>
      <c r="G26" s="261" t="n">
        <v>1599539.10177338</v>
      </c>
    </row>
    <row r="27" customFormat="false" ht="16.5" hidden="false" customHeight="true" outlineLevel="0" collapsed="false">
      <c r="B27" s="268" t="s">
        <v>189</v>
      </c>
      <c r="C27" s="260" t="n">
        <f aca="false">E27/$E$28</f>
        <v>0.01</v>
      </c>
      <c r="D27" s="139" t="n">
        <f aca="false">(D23/(1-$F$7-$F$8-SUM($C$7:$C$9))*$F$8)</f>
        <v>35889.3245481711</v>
      </c>
      <c r="E27" s="139" t="n">
        <f aca="false">(E23/(1-$F$7-$F$8-SUM($C$7:$C$9))*$F$8)</f>
        <v>179446.622740856</v>
      </c>
      <c r="F27" s="137" t="n">
        <f aca="false">D27/$G$13</f>
        <v>0.824290451485435</v>
      </c>
      <c r="G27" s="261" t="n">
        <v>533179.700591127</v>
      </c>
    </row>
    <row r="28" customFormat="false" ht="16.5" hidden="false" customHeight="true" outlineLevel="0" collapsed="false">
      <c r="B28" s="90" t="s">
        <v>190</v>
      </c>
      <c r="C28" s="269" t="n">
        <f aca="false">E28/$E$25</f>
        <v>1.06382978723404</v>
      </c>
      <c r="D28" s="270" t="n">
        <f aca="false">D25+D26+D27</f>
        <v>3588932.45481711</v>
      </c>
      <c r="E28" s="270" t="n">
        <f aca="false">E25+E26+E27</f>
        <v>17944662.2740856</v>
      </c>
      <c r="F28" s="271" t="n">
        <f aca="false">D28/$G$13</f>
        <v>82.4290451485435</v>
      </c>
      <c r="G28" s="261" t="n">
        <v>26658985.0295564</v>
      </c>
    </row>
    <row r="29" customFormat="false" ht="16.5" hidden="false" customHeight="true" outlineLevel="0" collapsed="false">
      <c r="B29" s="268" t="s">
        <v>191</v>
      </c>
      <c r="C29" s="260" t="n">
        <f aca="false">E29/$E$30</f>
        <v>0.06</v>
      </c>
      <c r="D29" s="139" t="n">
        <f aca="false">$F$9*((D23/(1-$F$7-$F$8-SUM($C$7:$C$9))))/(1-$F$9)</f>
        <v>229080.794988326</v>
      </c>
      <c r="E29" s="139" t="n">
        <f aca="false">$F$9*((E23/(1-$F$7-$F$8-SUM($C$7:$C$9))))/(1-$F$9)</f>
        <v>1145403.97494163</v>
      </c>
      <c r="F29" s="137" t="n">
        <f aca="false">D29/$G$13</f>
        <v>5.26142841373682</v>
      </c>
      <c r="G29" s="261" t="n">
        <v>2318172.61126577</v>
      </c>
    </row>
    <row r="30" customFormat="false" ht="16.5" hidden="false" customHeight="true" outlineLevel="0" collapsed="false">
      <c r="B30" s="90" t="s">
        <v>192</v>
      </c>
      <c r="C30" s="272" t="n">
        <f aca="false">E30/E25</f>
        <v>1.13173381620643</v>
      </c>
      <c r="D30" s="270" t="n">
        <f aca="false">D28+D29</f>
        <v>3818013.24980544</v>
      </c>
      <c r="E30" s="270" t="n">
        <f aca="false">E28+E29</f>
        <v>19090066.2490272</v>
      </c>
      <c r="F30" s="271" t="n">
        <f aca="false">D30/$G$13</f>
        <v>87.6904735622803</v>
      </c>
      <c r="G30" s="261" t="n">
        <v>28977157.6408221</v>
      </c>
      <c r="H30" s="182" t="n">
        <f aca="false">E30/G30-1</f>
        <v>-0.34120294041077</v>
      </c>
    </row>
    <row r="32" customFormat="false" ht="14.25" hidden="false" customHeight="false" outlineLevel="0" collapsed="false">
      <c r="B32" s="49" t="s">
        <v>193</v>
      </c>
      <c r="C32" s="88" t="s">
        <v>194</v>
      </c>
      <c r="D32" s="88" t="s">
        <v>195</v>
      </c>
    </row>
    <row r="33" customFormat="false" ht="14.25" hidden="false" customHeight="false" outlineLevel="0" collapsed="false">
      <c r="B33" s="94" t="s">
        <v>196</v>
      </c>
      <c r="C33" s="273"/>
      <c r="D33" s="274" t="n">
        <f aca="false">D30</f>
        <v>3818013.24980544</v>
      </c>
    </row>
    <row r="34" customFormat="false" ht="14.25" hidden="false" customHeight="false" outlineLevel="0" collapsed="false">
      <c r="B34" s="94" t="s">
        <v>197</v>
      </c>
      <c r="C34" s="275" t="n">
        <f aca="false">D34/D33</f>
        <v>0.107</v>
      </c>
      <c r="D34" s="276" t="n">
        <f aca="false">D26+D29</f>
        <v>408527.417729182</v>
      </c>
    </row>
    <row r="35" customFormat="false" ht="14.25" hidden="false" customHeight="false" outlineLevel="0" collapsed="false">
      <c r="B35" s="94" t="s">
        <v>198</v>
      </c>
      <c r="C35" s="277" t="n">
        <f aca="false">C34+C7+C8</f>
        <v>0.182</v>
      </c>
      <c r="D35" s="276" t="n">
        <f aca="false">C35*D33</f>
        <v>694878.41146459</v>
      </c>
    </row>
    <row r="37" customFormat="false" ht="14.25" hidden="false" customHeight="false" outlineLevel="0" collapsed="false">
      <c r="B37" s="49" t="s">
        <v>199</v>
      </c>
    </row>
    <row r="38" customFormat="false" ht="14.25" hidden="false" customHeight="false" outlineLevel="0" collapsed="false">
      <c r="B38" s="94" t="s">
        <v>200</v>
      </c>
      <c r="C38" s="273"/>
      <c r="D38" s="274" t="n">
        <f aca="false">D28</f>
        <v>3588932.45481711</v>
      </c>
    </row>
    <row r="39" customFormat="false" ht="14.25" hidden="false" customHeight="false" outlineLevel="0" collapsed="false">
      <c r="B39" s="94" t="s">
        <v>201</v>
      </c>
      <c r="C39" s="275" t="n">
        <f aca="false">D39/D38</f>
        <v>0.05</v>
      </c>
      <c r="D39" s="276" t="n">
        <f aca="false">D26</f>
        <v>179446.622740856</v>
      </c>
    </row>
    <row r="40" customFormat="false" ht="14.25" hidden="false" customHeight="false" outlineLevel="0" collapsed="false">
      <c r="B40" s="94" t="s">
        <v>198</v>
      </c>
      <c r="C40" s="277" t="n">
        <f aca="false">C39+C7+C8</f>
        <v>0.125</v>
      </c>
      <c r="D40" s="276" t="n">
        <f aca="false">C40*D38</f>
        <v>448616.556852139</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348B"/>
    <pageSetUpPr fitToPage="true"/>
  </sheetPr>
  <dimension ref="A1:M66"/>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G38" activeCellId="0" sqref="G38"/>
    </sheetView>
  </sheetViews>
  <sheetFormatPr defaultColWidth="11.4453125" defaultRowHeight="13.5" zeroHeight="false" outlineLevelRow="0" outlineLevelCol="0"/>
  <cols>
    <col collapsed="false" customWidth="true" hidden="false" outlineLevel="0" max="1" min="1" style="278" width="2.88"/>
    <col collapsed="false" customWidth="true" hidden="false" outlineLevel="0" max="2" min="2" style="278" width="39.44"/>
    <col collapsed="false" customWidth="true" hidden="false" outlineLevel="0" max="3" min="3" style="278" width="12.88"/>
    <col collapsed="false" customWidth="true" hidden="false" outlineLevel="0" max="4" min="4" style="278" width="20"/>
    <col collapsed="false" customWidth="true" hidden="false" outlineLevel="0" max="6" min="5" style="278" width="6.44"/>
    <col collapsed="false" customWidth="true" hidden="false" outlineLevel="0" max="7" min="7" style="278" width="14.67"/>
    <col collapsed="false" customWidth="true" hidden="false" outlineLevel="0" max="8" min="8" style="278" width="9.56"/>
    <col collapsed="false" customWidth="false" hidden="false" outlineLevel="0" max="10" min="9" style="278" width="11.44"/>
    <col collapsed="false" customWidth="true" hidden="false" outlineLevel="0" max="11" min="11" style="278" width="15.66"/>
    <col collapsed="false" customWidth="false" hidden="false" outlineLevel="0" max="16384" min="12" style="278" width="11.44"/>
  </cols>
  <sheetData>
    <row r="1" customFormat="false" ht="20.25" hidden="false" customHeight="true" outlineLevel="0" collapsed="false">
      <c r="A1" s="279" t="s">
        <v>202</v>
      </c>
      <c r="B1" s="279"/>
      <c r="C1" s="279"/>
      <c r="D1" s="279"/>
      <c r="E1" s="279"/>
      <c r="F1" s="279"/>
      <c r="G1" s="279"/>
      <c r="H1" s="279"/>
      <c r="I1" s="280" t="s">
        <v>203</v>
      </c>
      <c r="J1" s="280"/>
      <c r="K1" s="280"/>
      <c r="L1" s="281" t="s">
        <v>204</v>
      </c>
      <c r="M1" s="281"/>
    </row>
    <row r="2" customFormat="false" ht="18" hidden="false" customHeight="true" outlineLevel="0" collapsed="false">
      <c r="A2" s="282"/>
      <c r="B2" s="283"/>
      <c r="C2" s="284"/>
      <c r="G2" s="285"/>
      <c r="H2" s="285"/>
      <c r="I2" s="280"/>
      <c r="J2" s="280"/>
      <c r="K2" s="280"/>
      <c r="L2" s="281"/>
      <c r="M2" s="281"/>
    </row>
    <row r="3" customFormat="false" ht="15" hidden="false" customHeight="true" outlineLevel="0" collapsed="false">
      <c r="A3" s="282"/>
      <c r="B3" s="286" t="s">
        <v>205</v>
      </c>
      <c r="C3" s="286"/>
      <c r="D3" s="286"/>
      <c r="E3" s="286"/>
      <c r="F3" s="286"/>
      <c r="G3" s="286"/>
      <c r="H3" s="286"/>
      <c r="I3" s="280"/>
      <c r="J3" s="280"/>
      <c r="K3" s="280"/>
      <c r="L3" s="281"/>
      <c r="M3" s="281"/>
    </row>
    <row r="4" customFormat="false" ht="3.75" hidden="false" customHeight="true" outlineLevel="0" collapsed="false">
      <c r="A4" s="282"/>
      <c r="B4" s="287"/>
      <c r="C4" s="287"/>
      <c r="D4" s="287"/>
      <c r="E4" s="287"/>
      <c r="F4" s="287"/>
      <c r="G4" s="287"/>
      <c r="H4" s="287"/>
      <c r="I4" s="280"/>
      <c r="J4" s="280"/>
      <c r="K4" s="280"/>
      <c r="L4" s="281"/>
      <c r="M4" s="281"/>
    </row>
    <row r="5" customFormat="false" ht="21" hidden="false" customHeight="true" outlineLevel="0" collapsed="false">
      <c r="A5" s="282"/>
      <c r="B5" s="287" t="s">
        <v>206</v>
      </c>
      <c r="C5" s="288"/>
      <c r="D5" s="289" t="s">
        <v>207</v>
      </c>
      <c r="E5" s="290"/>
      <c r="F5" s="290"/>
      <c r="G5" s="290"/>
      <c r="H5" s="290"/>
      <c r="I5" s="280"/>
      <c r="J5" s="280"/>
      <c r="K5" s="280"/>
      <c r="L5" s="281"/>
      <c r="M5" s="281"/>
    </row>
    <row r="6" customFormat="false" ht="21" hidden="false" customHeight="true" outlineLevel="0" collapsed="false">
      <c r="A6" s="282"/>
      <c r="B6" s="291" t="s">
        <v>208</v>
      </c>
      <c r="C6" s="291"/>
      <c r="D6" s="292" t="s">
        <v>209</v>
      </c>
      <c r="E6" s="290"/>
      <c r="F6" s="290"/>
      <c r="G6" s="290"/>
      <c r="H6" s="290"/>
      <c r="I6" s="280"/>
      <c r="J6" s="280"/>
      <c r="K6" s="280"/>
      <c r="L6" s="281"/>
      <c r="M6" s="281"/>
    </row>
    <row r="7" customFormat="false" ht="21" hidden="false" customHeight="true" outlineLevel="0" collapsed="false">
      <c r="A7" s="282"/>
      <c r="B7" s="287" t="s">
        <v>210</v>
      </c>
      <c r="D7" s="293" t="str">
        <f aca="false">'A. Start'!B8</f>
        <v>VIAS</v>
      </c>
      <c r="I7" s="280"/>
      <c r="J7" s="280"/>
      <c r="K7" s="280"/>
      <c r="L7" s="281"/>
      <c r="M7" s="281"/>
    </row>
    <row r="8" customFormat="false" ht="21" hidden="false" customHeight="true" outlineLevel="0" collapsed="false">
      <c r="A8" s="282"/>
      <c r="B8" s="294" t="s">
        <v>211</v>
      </c>
      <c r="D8" s="295"/>
      <c r="E8" s="295"/>
      <c r="F8" s="295"/>
      <c r="G8" s="295"/>
      <c r="H8" s="296"/>
      <c r="I8" s="297" t="s">
        <v>212</v>
      </c>
    </row>
    <row r="9" customFormat="false" ht="21" hidden="false" customHeight="true" outlineLevel="0" collapsed="false">
      <c r="A9" s="282"/>
      <c r="B9" s="287" t="s">
        <v>213</v>
      </c>
      <c r="D9" s="298" t="str">
        <f aca="false">'A. Start'!B4</f>
        <v>Testkunde</v>
      </c>
      <c r="E9" s="298"/>
      <c r="F9" s="298"/>
      <c r="G9" s="298"/>
      <c r="H9" s="299"/>
      <c r="I9" s="297"/>
    </row>
    <row r="10" customFormat="false" ht="21" hidden="false" customHeight="true" outlineLevel="0" collapsed="false">
      <c r="A10" s="282"/>
      <c r="B10" s="287" t="s">
        <v>214</v>
      </c>
      <c r="D10" s="298" t="str">
        <f aca="false">'A. Start'!B3</f>
        <v>Testkalkulation Kombinationen</v>
      </c>
      <c r="E10" s="298"/>
      <c r="F10" s="298"/>
      <c r="G10" s="298"/>
      <c r="H10" s="299"/>
      <c r="I10" s="297"/>
    </row>
    <row r="11" customFormat="false" ht="21" hidden="false" customHeight="true" outlineLevel="0" collapsed="false">
      <c r="A11" s="282"/>
      <c r="B11" s="287" t="s">
        <v>215</v>
      </c>
      <c r="D11" s="298" t="str">
        <f aca="false">'A. Start'!E9</f>
        <v>Kästner</v>
      </c>
      <c r="E11" s="298"/>
      <c r="F11" s="298"/>
      <c r="G11" s="298"/>
      <c r="H11" s="299"/>
      <c r="I11" s="297"/>
    </row>
    <row r="12" customFormat="false" ht="21" hidden="false" customHeight="true" outlineLevel="0" collapsed="false">
      <c r="A12" s="282"/>
      <c r="B12" s="287" t="s">
        <v>216</v>
      </c>
      <c r="D12" s="298" t="str">
        <f aca="false">'A. Start'!B9</f>
        <v>LOG</v>
      </c>
      <c r="E12" s="298"/>
      <c r="F12" s="298"/>
      <c r="G12" s="298"/>
      <c r="H12" s="299"/>
      <c r="I12" s="297"/>
    </row>
    <row r="13" customFormat="false" ht="21" hidden="false" customHeight="true" outlineLevel="0" collapsed="false">
      <c r="A13" s="282"/>
      <c r="B13" s="287" t="s">
        <v>217</v>
      </c>
      <c r="D13" s="300"/>
      <c r="E13" s="300"/>
      <c r="F13" s="300"/>
      <c r="G13" s="300"/>
      <c r="H13" s="299"/>
      <c r="I13" s="297"/>
    </row>
    <row r="14" customFormat="false" ht="21" hidden="false" customHeight="true" outlineLevel="0" collapsed="false">
      <c r="A14" s="282"/>
      <c r="B14" s="301" t="s">
        <v>218</v>
      </c>
      <c r="C14" s="302"/>
      <c r="D14" s="300" t="s">
        <v>219</v>
      </c>
      <c r="E14" s="300"/>
      <c r="F14" s="300"/>
      <c r="G14" s="300"/>
      <c r="H14" s="302"/>
      <c r="I14" s="297"/>
    </row>
    <row r="15" customFormat="false" ht="21" hidden="false" customHeight="true" outlineLevel="0" collapsed="false">
      <c r="A15" s="282"/>
      <c r="B15" s="301" t="s">
        <v>220</v>
      </c>
      <c r="C15" s="302"/>
      <c r="D15" s="303" t="n">
        <v>1</v>
      </c>
      <c r="E15" s="303"/>
      <c r="F15" s="303"/>
      <c r="G15" s="303"/>
      <c r="I15" s="297"/>
    </row>
    <row r="16" customFormat="false" ht="21" hidden="false" customHeight="true" outlineLevel="0" collapsed="false">
      <c r="B16" s="304" t="s">
        <v>221</v>
      </c>
      <c r="C16" s="304"/>
      <c r="D16" s="305" t="n">
        <f aca="false">'B. Basisdaten'!$C$8+'B. Basisdaten'!$C$9</f>
        <v>0.075</v>
      </c>
      <c r="E16" s="305"/>
      <c r="F16" s="305"/>
      <c r="G16" s="305"/>
      <c r="I16" s="297"/>
    </row>
    <row r="17" customFormat="false" ht="21" hidden="false" customHeight="true" outlineLevel="0" collapsed="false">
      <c r="A17" s="282"/>
      <c r="I17" s="297"/>
    </row>
    <row r="18" customFormat="false" ht="21" hidden="false" customHeight="true" outlineLevel="0" collapsed="false">
      <c r="A18" s="282"/>
      <c r="B18" s="306" t="s">
        <v>222</v>
      </c>
      <c r="C18" s="307"/>
      <c r="D18" s="307"/>
      <c r="E18" s="307"/>
      <c r="F18" s="307"/>
      <c r="G18" s="307"/>
      <c r="H18" s="307"/>
      <c r="I18" s="297"/>
    </row>
    <row r="19" customFormat="false" ht="21" hidden="false" customHeight="true" outlineLevel="0" collapsed="false">
      <c r="A19" s="282"/>
      <c r="B19" s="308" t="n">
        <f aca="false">'V. Summary'!D33</f>
        <v>3818013.24980544</v>
      </c>
      <c r="C19" s="309" t="str">
        <f aca="false">D14</f>
        <v>EUR</v>
      </c>
      <c r="D19" s="310" t="s">
        <v>223</v>
      </c>
      <c r="E19" s="310"/>
      <c r="F19" s="310"/>
      <c r="G19" s="311"/>
      <c r="H19" s="311"/>
      <c r="I19" s="297"/>
      <c r="K19" s="312"/>
    </row>
    <row r="20" customFormat="false" ht="21" hidden="false" customHeight="true" outlineLevel="0" collapsed="false">
      <c r="A20" s="282"/>
      <c r="B20" s="306" t="s">
        <v>224</v>
      </c>
      <c r="C20" s="313"/>
      <c r="D20" s="314" t="s">
        <v>225</v>
      </c>
      <c r="E20" s="314"/>
      <c r="G20" s="311"/>
      <c r="H20" s="311"/>
      <c r="I20" s="297"/>
      <c r="K20" s="312"/>
    </row>
    <row r="21" customFormat="false" ht="21" hidden="false" customHeight="true" outlineLevel="0" collapsed="false">
      <c r="A21" s="282"/>
      <c r="B21" s="308" t="n">
        <f aca="false">'V. Summary'!D35</f>
        <v>694878.41146459</v>
      </c>
      <c r="C21" s="309" t="str">
        <f aca="false">C19</f>
        <v>EUR</v>
      </c>
      <c r="D21" s="315" t="n">
        <f aca="false">B21/B19</f>
        <v>0.182</v>
      </c>
      <c r="E21" s="315"/>
      <c r="F21" s="316"/>
      <c r="I21" s="297"/>
      <c r="K21" s="312"/>
    </row>
    <row r="22" customFormat="false" ht="21" hidden="false" customHeight="true" outlineLevel="0" collapsed="false">
      <c r="A22" s="282"/>
      <c r="B22" s="317" t="s">
        <v>226</v>
      </c>
      <c r="C22" s="318"/>
      <c r="D22" s="319" t="s">
        <v>227</v>
      </c>
      <c r="E22" s="319"/>
      <c r="F22" s="320"/>
      <c r="G22" s="321" t="n">
        <f aca="false">D21-D23</f>
        <v>0.075</v>
      </c>
      <c r="I22" s="297"/>
      <c r="K22" s="312"/>
    </row>
    <row r="23" customFormat="false" ht="21" hidden="false" customHeight="true" outlineLevel="0" collapsed="false">
      <c r="A23" s="282"/>
      <c r="B23" s="308" t="n">
        <f aca="false">'V. Summary'!D34</f>
        <v>408527.417729182</v>
      </c>
      <c r="C23" s="322" t="str">
        <f aca="false">C19</f>
        <v>EUR</v>
      </c>
      <c r="D23" s="315" t="n">
        <f aca="false">B23/B19</f>
        <v>0.107</v>
      </c>
      <c r="E23" s="315"/>
      <c r="F23" s="323"/>
      <c r="G23" s="324"/>
      <c r="H23" s="324"/>
      <c r="I23" s="297"/>
      <c r="K23" s="312"/>
    </row>
    <row r="24" customFormat="false" ht="21" hidden="false" customHeight="true" outlineLevel="0" collapsed="false">
      <c r="A24" s="282"/>
      <c r="B24" s="317" t="s">
        <v>228</v>
      </c>
      <c r="C24" s="318"/>
      <c r="F24" s="323"/>
      <c r="I24" s="297"/>
    </row>
    <row r="25" customFormat="false" ht="21" hidden="false" customHeight="true" outlineLevel="0" collapsed="false">
      <c r="A25" s="282"/>
      <c r="B25" s="308" t="n">
        <f aca="false">'V. Summary'!E19</f>
        <v>867406</v>
      </c>
      <c r="C25" s="309" t="str">
        <f aca="false">C19</f>
        <v>EUR</v>
      </c>
      <c r="F25" s="302"/>
      <c r="G25" s="325"/>
      <c r="I25" s="297"/>
    </row>
    <row r="26" customFormat="false" ht="21" hidden="false" customHeight="true" outlineLevel="0" collapsed="false">
      <c r="A26" s="282"/>
      <c r="B26" s="317" t="s">
        <v>229</v>
      </c>
      <c r="C26" s="318"/>
      <c r="I26" s="297"/>
    </row>
    <row r="27" customFormat="false" ht="21" hidden="false" customHeight="true" outlineLevel="0" collapsed="false">
      <c r="A27" s="282"/>
      <c r="B27" s="326" t="n">
        <f aca="false">'V. Summary'!D20</f>
        <v>1140600</v>
      </c>
      <c r="C27" s="309" t="str">
        <f aca="false">C21</f>
        <v>EUR</v>
      </c>
      <c r="D27" s="307"/>
      <c r="E27" s="307"/>
      <c r="F27" s="307"/>
      <c r="G27" s="307"/>
      <c r="H27" s="307"/>
      <c r="I27" s="297"/>
    </row>
    <row r="28" customFormat="false" ht="21" hidden="false" customHeight="true" outlineLevel="0" collapsed="false">
      <c r="A28" s="282"/>
      <c r="B28" s="327" t="s">
        <v>230</v>
      </c>
      <c r="I28" s="297"/>
    </row>
    <row r="29" customFormat="false" ht="21" hidden="false" customHeight="true" outlineLevel="0" collapsed="false">
      <c r="A29" s="282"/>
      <c r="B29" s="328"/>
      <c r="I29" s="297"/>
    </row>
    <row r="30" customFormat="false" ht="21" hidden="false" customHeight="true" outlineLevel="0" collapsed="false">
      <c r="A30" s="282"/>
      <c r="I30" s="297"/>
    </row>
    <row r="31" customFormat="false" ht="21" hidden="false" customHeight="true" outlineLevel="0" collapsed="false">
      <c r="A31" s="282"/>
      <c r="B31" s="329" t="s">
        <v>231</v>
      </c>
      <c r="C31" s="330"/>
      <c r="D31" s="331"/>
      <c r="E31" s="331"/>
      <c r="F31" s="331"/>
      <c r="G31" s="331"/>
      <c r="H31" s="331"/>
      <c r="I31" s="297"/>
    </row>
    <row r="32" customFormat="false" ht="21" hidden="false" customHeight="true" outlineLevel="0" collapsed="false">
      <c r="A32" s="282"/>
      <c r="I32" s="297"/>
    </row>
    <row r="33" customFormat="false" ht="21" hidden="false" customHeight="true" outlineLevel="0" collapsed="false">
      <c r="A33" s="282"/>
      <c r="B33" s="286" t="s">
        <v>232</v>
      </c>
      <c r="C33" s="286"/>
      <c r="D33" s="286"/>
      <c r="E33" s="286"/>
      <c r="F33" s="286"/>
      <c r="G33" s="286"/>
      <c r="H33" s="286"/>
      <c r="I33" s="297"/>
    </row>
    <row r="34" customFormat="false" ht="21" hidden="false" customHeight="true" outlineLevel="0" collapsed="false">
      <c r="A34" s="282"/>
      <c r="B34" s="332" t="s">
        <v>233</v>
      </c>
      <c r="I34" s="297"/>
    </row>
    <row r="35" customFormat="false" ht="21" hidden="false" customHeight="true" outlineLevel="0" collapsed="false">
      <c r="A35" s="333"/>
      <c r="B35" s="334" t="n">
        <f aca="false">'V. Summary'!D38</f>
        <v>3588932.45481711</v>
      </c>
      <c r="C35" s="309" t="str">
        <f aca="false">C19</f>
        <v>EUR</v>
      </c>
      <c r="I35" s="297"/>
      <c r="K35" s="312"/>
    </row>
    <row r="36" customFormat="false" ht="21" hidden="false" customHeight="true" outlineLevel="0" collapsed="false">
      <c r="A36" s="333"/>
      <c r="B36" s="306" t="s">
        <v>234</v>
      </c>
      <c r="D36" s="319" t="s">
        <v>225</v>
      </c>
      <c r="I36" s="297"/>
      <c r="K36" s="312"/>
    </row>
    <row r="37" customFormat="false" ht="21" hidden="false" customHeight="true" outlineLevel="0" collapsed="false">
      <c r="A37" s="333"/>
      <c r="B37" s="335" t="n">
        <f aca="false">'V. Summary'!D40</f>
        <v>448616.556852139</v>
      </c>
      <c r="C37" s="309" t="str">
        <f aca="false">C35</f>
        <v>EUR</v>
      </c>
      <c r="D37" s="336" t="n">
        <f aca="false">B37/B35</f>
        <v>0.125</v>
      </c>
      <c r="I37" s="297"/>
      <c r="K37" s="312"/>
    </row>
    <row r="38" customFormat="false" ht="21" hidden="false" customHeight="true" outlineLevel="0" collapsed="false">
      <c r="A38" s="333"/>
      <c r="B38" s="306" t="s">
        <v>235</v>
      </c>
      <c r="D38" s="319" t="s">
        <v>227</v>
      </c>
      <c r="G38" s="321" t="n">
        <f aca="false">D37-D39</f>
        <v>0.075</v>
      </c>
      <c r="I38" s="297"/>
      <c r="K38" s="312"/>
    </row>
    <row r="39" customFormat="false" ht="21" hidden="false" customHeight="true" outlineLevel="0" collapsed="false">
      <c r="B39" s="335" t="n">
        <f aca="false">'V. Summary'!D39</f>
        <v>179446.622740856</v>
      </c>
      <c r="C39" s="322" t="str">
        <f aca="false">C35</f>
        <v>EUR</v>
      </c>
      <c r="D39" s="336" t="n">
        <f aca="false">B39/B35</f>
        <v>0.05</v>
      </c>
      <c r="E39" s="337"/>
      <c r="F39" s="337"/>
      <c r="G39" s="337"/>
      <c r="H39" s="337"/>
      <c r="I39" s="297"/>
      <c r="K39" s="312"/>
    </row>
    <row r="40" customFormat="false" ht="21" hidden="false" customHeight="true" outlineLevel="0" collapsed="false">
      <c r="B40" s="306" t="s">
        <v>236</v>
      </c>
      <c r="I40" s="297"/>
    </row>
    <row r="41" customFormat="false" ht="21" hidden="false" customHeight="true" outlineLevel="0" collapsed="false">
      <c r="B41" s="335" t="n">
        <f aca="false">B25</f>
        <v>867406</v>
      </c>
      <c r="C41" s="322" t="str">
        <f aca="false">C35</f>
        <v>EUR</v>
      </c>
      <c r="E41" s="325"/>
      <c r="F41" s="302"/>
      <c r="G41" s="325"/>
      <c r="I41" s="297"/>
    </row>
    <row r="42" customFormat="false" ht="21" hidden="false" customHeight="true" outlineLevel="0" collapsed="false">
      <c r="B42" s="306" t="s">
        <v>237</v>
      </c>
      <c r="C42" s="318"/>
      <c r="F42" s="338"/>
      <c r="I42" s="297"/>
    </row>
    <row r="43" customFormat="false" ht="21" hidden="false" customHeight="true" outlineLevel="0" collapsed="false">
      <c r="B43" s="335" t="n">
        <f aca="false">B27</f>
        <v>1140600</v>
      </c>
      <c r="C43" s="322" t="str">
        <f aca="false">C35</f>
        <v>EUR</v>
      </c>
      <c r="D43" s="339"/>
      <c r="E43" s="302"/>
      <c r="F43" s="302"/>
      <c r="I43" s="297"/>
    </row>
    <row r="44" customFormat="false" ht="21" hidden="false" customHeight="true" outlineLevel="0" collapsed="false">
      <c r="C44" s="313"/>
      <c r="F44" s="316"/>
    </row>
    <row r="45" customFormat="false" ht="21" hidden="false" customHeight="true" outlineLevel="0" collapsed="false">
      <c r="C45" s="318"/>
      <c r="F45" s="320"/>
      <c r="H45" s="340"/>
    </row>
    <row r="46" customFormat="false" ht="21" hidden="false" customHeight="true" outlineLevel="0" collapsed="false">
      <c r="B46" s="341"/>
      <c r="C46" s="341"/>
      <c r="D46" s="341"/>
      <c r="E46" s="341"/>
      <c r="F46" s="341"/>
      <c r="G46" s="341"/>
      <c r="H46" s="341"/>
    </row>
    <row r="47" customFormat="false" ht="21" hidden="false" customHeight="true" outlineLevel="0" collapsed="false"/>
    <row r="48" customFormat="false" ht="21" hidden="false" customHeight="true" outlineLevel="0" collapsed="false"/>
    <row r="49" customFormat="false" ht="21" hidden="false" customHeight="true" outlineLevel="0" collapsed="false"/>
    <row r="50" customFormat="false" ht="21" hidden="false" customHeight="true" outlineLevel="0" collapsed="false"/>
    <row r="51" customFormat="false" ht="21" hidden="false" customHeight="true" outlineLevel="0" collapsed="false"/>
    <row r="52" customFormat="false" ht="21" hidden="false" customHeight="true" outlineLevel="0" collapsed="false"/>
    <row r="53" customFormat="false" ht="21" hidden="false" customHeight="true" outlineLevel="0" collapsed="false"/>
    <row r="54" customFormat="false" ht="21" hidden="false" customHeight="true" outlineLevel="0" collapsed="false"/>
    <row r="55" customFormat="false" ht="21" hidden="false" customHeight="true" outlineLevel="0" collapsed="false"/>
    <row r="56" customFormat="false" ht="21" hidden="false" customHeight="true" outlineLevel="0" collapsed="false"/>
    <row r="57" customFormat="false" ht="18.75" hidden="false" customHeight="true" outlineLevel="0" collapsed="false"/>
    <row r="58" customFormat="false" ht="18.75" hidden="false" customHeight="true" outlineLevel="0" collapsed="false"/>
    <row r="59" customFormat="false" ht="18.75" hidden="false" customHeight="true" outlineLevel="0" collapsed="false"/>
    <row r="60" customFormat="false" ht="18.75" hidden="false" customHeight="true" outlineLevel="0" collapsed="false"/>
    <row r="61" customFormat="false" ht="18.75" hidden="false" customHeight="true" outlineLevel="0" collapsed="false"/>
    <row r="62" customFormat="false" ht="18.75" hidden="false" customHeight="true" outlineLevel="0" collapsed="false"/>
    <row r="63" customFormat="false" ht="18.75" hidden="false" customHeight="true" outlineLevel="0" collapsed="false"/>
    <row r="64" customFormat="false" ht="18.75" hidden="false" customHeight="true" outlineLevel="0" collapsed="false"/>
    <row r="65" customFormat="false" ht="18.75" hidden="false" customHeight="true" outlineLevel="0" collapsed="false"/>
    <row r="66" customFormat="false" ht="18.75" hidden="false" customHeight="true" outlineLevel="0" collapsed="false"/>
  </sheetData>
  <mergeCells count="19">
    <mergeCell ref="I1:K7"/>
    <mergeCell ref="L1:M7"/>
    <mergeCell ref="G2:H2"/>
    <mergeCell ref="B6:C6"/>
    <mergeCell ref="D8:G8"/>
    <mergeCell ref="I8:I43"/>
    <mergeCell ref="D9:G9"/>
    <mergeCell ref="D10:G10"/>
    <mergeCell ref="D11:G11"/>
    <mergeCell ref="D12:G12"/>
    <mergeCell ref="D13:G13"/>
    <mergeCell ref="D14:G14"/>
    <mergeCell ref="D15:G15"/>
    <mergeCell ref="D16:G16"/>
    <mergeCell ref="D19:F19"/>
    <mergeCell ref="D20:E20"/>
    <mergeCell ref="D21:E21"/>
    <mergeCell ref="D22:E22"/>
    <mergeCell ref="D23:E23"/>
  </mergeCells>
  <conditionalFormatting sqref="B27">
    <cfRule type="cellIs" priority="2" operator="equal" aboveAverage="0" equalAverage="0" bottom="0" percent="0" rank="0" text="" dxfId="2">
      <formula>"-"</formula>
    </cfRule>
    <cfRule type="cellIs" priority="3" operator="equal" aboveAverage="0" equalAverage="0" bottom="0" percent="0" rank="0" text="" dxfId="3">
      <formula>""</formula>
    </cfRule>
    <cfRule type="cellIs" priority="4" operator="equal" aboveAverage="0" equalAverage="0" bottom="0" percent="0" rank="0" text="" dxfId="3">
      <formula>"-"</formula>
    </cfRule>
  </conditionalFormatting>
  <dataValidations count="2">
    <dataValidation allowBlank="true" errorStyle="stop" operator="between" showDropDown="false" showErrorMessage="false" showInputMessage="true" sqref="B29" type="list">
      <formula1>"Aufwand,Gem. Preisliste,Zahlungsplan,Monatspauschale,Stückpreis"</formula1>
      <formula2>0</formula2>
    </dataValidation>
    <dataValidation allowBlank="true" errorStyle="stop" operator="between" showDropDown="false" showErrorMessage="true" showInputMessage="true" sqref="D6" type="list">
      <formula1>"Angebot,Auftrag,Korrekturangebot"</formula1>
      <formula2>0</formula2>
    </dataValidation>
  </dataValidations>
  <hyperlinks>
    <hyperlink ref="L1" r:id="rId1" display="LINK"/>
  </hyperlinks>
  <printOptions headings="false" gridLines="false" gridLinesSet="true" horizontalCentered="false" verticalCentered="false"/>
  <pageMargins left="0.236111111111111" right="0.236111111111111" top="0.748611111111111" bottom="0.747916666666667" header="0.315277777777778" footer="0.315277777777778"/>
  <pageSetup paperSize="1" scale="100" fitToWidth="1" fitToHeight="1" pageOrder="downThenOver" orientation="portrait" blackAndWhite="false" draft="false" cellComments="none" horizontalDpi="300" verticalDpi="300" copies="1"/>
  <headerFooter differentFirst="false" differentOddEven="false">
    <oddHeader>&amp;L&amp;14 &amp;D_x005F_x000a_&amp;T</oddHeader>
    <oddFooter>&amp;C&amp;Z&amp;F_x005F_x000a_&amp;F</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9" activeCellId="0" sqref="I29"/>
    </sheetView>
  </sheetViews>
  <sheetFormatPr defaultColWidth="10.6796875" defaultRowHeight="12.75" zeroHeight="false" outlineLevelRow="0" outlineLevelCol="0"/>
  <cols>
    <col collapsed="false" customWidth="true" hidden="false" outlineLevel="0" max="4" min="4" style="0" width="15.88"/>
    <col collapsed="false" customWidth="true" hidden="false" outlineLevel="0" max="5" min="5" style="0" width="19.33"/>
    <col collapsed="false" customWidth="true" hidden="false" outlineLevel="0" max="7" min="7" style="0" width="16"/>
    <col collapsed="false" customWidth="true" hidden="false" outlineLevel="0" max="10" min="10" style="0" width="14.78"/>
  </cols>
  <sheetData>
    <row r="2" customFormat="false" ht="12.75" hidden="false" customHeight="false" outlineLevel="0" collapsed="false">
      <c r="F2" s="0" t="s">
        <v>238</v>
      </c>
      <c r="G2" s="0" t="s">
        <v>239</v>
      </c>
    </row>
    <row r="3" customFormat="false" ht="12.75" hidden="false" customHeight="false" outlineLevel="0" collapsed="false">
      <c r="B3" s="0" t="s">
        <v>117</v>
      </c>
    </row>
    <row r="4" customFormat="false" ht="12.75" hidden="false" customHeight="false" outlineLevel="0" collapsed="false">
      <c r="B4" s="0" t="s">
        <v>240</v>
      </c>
      <c r="D4" s="342" t="s">
        <v>241</v>
      </c>
      <c r="E4" s="343" t="s">
        <v>242</v>
      </c>
      <c r="M4" s="343" t="s">
        <v>243</v>
      </c>
      <c r="N4" s="343" t="s">
        <v>244</v>
      </c>
      <c r="O4" s="343" t="s">
        <v>245</v>
      </c>
    </row>
    <row r="5" customFormat="false" ht="12.75" hidden="false" customHeight="false" outlineLevel="0" collapsed="false">
      <c r="B5" s="0" t="s">
        <v>246</v>
      </c>
      <c r="D5" s="342"/>
      <c r="E5" s="343" t="s">
        <v>247</v>
      </c>
      <c r="G5" s="344" t="s">
        <v>248</v>
      </c>
      <c r="N5" s="343" t="s">
        <v>249</v>
      </c>
    </row>
    <row r="6" customFormat="false" ht="12.75" hidden="false" customHeight="false" outlineLevel="0" collapsed="false">
      <c r="D6" s="342"/>
      <c r="E6" s="343" t="s">
        <v>250</v>
      </c>
      <c r="G6" s="344" t="s">
        <v>251</v>
      </c>
    </row>
    <row r="7" customFormat="false" ht="12.75" hidden="false" customHeight="false" outlineLevel="0" collapsed="false">
      <c r="D7" s="342"/>
      <c r="E7" s="343" t="s">
        <v>252</v>
      </c>
      <c r="G7" s="343" t="s">
        <v>253</v>
      </c>
    </row>
    <row r="8" customFormat="false" ht="12.75" hidden="false" customHeight="false" outlineLevel="0" collapsed="false">
      <c r="D8" s="345"/>
      <c r="E8" s="345"/>
      <c r="F8" s="345"/>
      <c r="G8" s="346" t="s">
        <v>254</v>
      </c>
    </row>
    <row r="9" customFormat="false" ht="12.75" hidden="false" customHeight="false" outlineLevel="0" collapsed="false">
      <c r="D9" s="0" t="s">
        <v>255</v>
      </c>
      <c r="E9" s="0" t="s">
        <v>256</v>
      </c>
      <c r="F9" s="347" t="n">
        <v>0.238</v>
      </c>
    </row>
    <row r="10" customFormat="false" ht="12.75" hidden="false" customHeight="false" outlineLevel="0" collapsed="false">
      <c r="D10" s="345"/>
      <c r="E10" s="345"/>
      <c r="F10" s="345"/>
      <c r="G10" s="345" t="s">
        <v>257</v>
      </c>
    </row>
    <row r="11" customFormat="false" ht="12.75" hidden="false" customHeight="false" outlineLevel="0" collapsed="false">
      <c r="E11" s="0" t="s">
        <v>258</v>
      </c>
      <c r="F11" s="348"/>
      <c r="G11" s="348"/>
      <c r="H11" s="348"/>
      <c r="I11" s="348"/>
      <c r="J11" s="348"/>
      <c r="K11" s="348"/>
    </row>
    <row r="12" customFormat="false" ht="12.75" hidden="false" customHeight="false" outlineLevel="0" collapsed="false">
      <c r="D12" s="345"/>
      <c r="E12" s="345"/>
      <c r="F12" s="345"/>
      <c r="G12" s="345" t="s">
        <v>259</v>
      </c>
    </row>
    <row r="13" customFormat="false" ht="12.75" hidden="false" customHeight="false" outlineLevel="0" collapsed="false">
      <c r="D13" s="0" t="s">
        <v>260</v>
      </c>
    </row>
    <row r="14" customFormat="false" ht="12.75" hidden="false" customHeight="false" outlineLevel="0" collapsed="false">
      <c r="D14" s="0" t="s">
        <v>189</v>
      </c>
    </row>
    <row r="15" customFormat="false" ht="12.75" hidden="false" customHeight="false" outlineLevel="0" collapsed="false">
      <c r="D15" s="345"/>
      <c r="E15" s="345"/>
      <c r="F15" s="345"/>
      <c r="G15" s="345" t="s">
        <v>261</v>
      </c>
    </row>
    <row r="16" customFormat="false" ht="12.75" hidden="false" customHeight="false" outlineLevel="0" collapsed="false">
      <c r="D16" s="0" t="s">
        <v>51</v>
      </c>
    </row>
    <row r="17" customFormat="false" ht="12.75" hidden="false" customHeight="false" outlineLevel="0" collapsed="false">
      <c r="D17" s="0" t="s">
        <v>191</v>
      </c>
    </row>
    <row r="18" customFormat="false" ht="12.75" hidden="false" customHeight="false" outlineLevel="0" collapsed="false">
      <c r="D18" s="345"/>
      <c r="E18" s="345"/>
      <c r="F18" s="345"/>
      <c r="G18" s="345" t="s">
        <v>262</v>
      </c>
    </row>
    <row r="19" customFormat="false" ht="12.75" hidden="false" customHeight="false" outlineLevel="0" collapsed="false">
      <c r="E19" s="343" t="s">
        <v>263</v>
      </c>
      <c r="G19" s="343" t="s">
        <v>262</v>
      </c>
    </row>
    <row r="28" customFormat="false" ht="12.75" hidden="false" customHeight="false" outlineLevel="0" collapsed="false">
      <c r="D28" s="0" t="s">
        <v>264</v>
      </c>
      <c r="E28" s="0" t="s">
        <v>265</v>
      </c>
      <c r="F28" s="0" t="s">
        <v>266</v>
      </c>
      <c r="G28" s="0" t="s">
        <v>242</v>
      </c>
      <c r="H28" s="0" t="s">
        <v>267</v>
      </c>
      <c r="I28" s="343" t="s">
        <v>268</v>
      </c>
      <c r="J28" s="343" t="s">
        <v>269</v>
      </c>
      <c r="K28" s="343" t="s">
        <v>270</v>
      </c>
      <c r="L28" s="343" t="s">
        <v>271</v>
      </c>
      <c r="M28" s="343" t="s">
        <v>272</v>
      </c>
      <c r="O28" s="343" t="s">
        <v>273</v>
      </c>
      <c r="P28" s="343" t="s">
        <v>274</v>
      </c>
      <c r="Q28" s="343" t="s">
        <v>275</v>
      </c>
      <c r="S28" s="343" t="s">
        <v>276</v>
      </c>
    </row>
    <row r="29" customFormat="false" ht="12.75" hidden="false" customHeight="false" outlineLevel="0" collapsed="false">
      <c r="H29" s="0" t="s">
        <v>89</v>
      </c>
      <c r="I29" s="0" t="s">
        <v>89</v>
      </c>
      <c r="K29" s="0" t="s">
        <v>89</v>
      </c>
      <c r="L29" s="0" t="s">
        <v>89</v>
      </c>
      <c r="O29" s="0" t="s">
        <v>89</v>
      </c>
      <c r="P29" s="0" t="s">
        <v>89</v>
      </c>
    </row>
  </sheetData>
  <mergeCells count="1">
    <mergeCell ref="D4:D7"/>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2026-02-26T08:11:46Z</dcterms:created>
  <dc:creator>Kästner, Philipp</dc:creator>
  <dc:description/>
  <dc:language>en-US</dc:language>
  <cp:lastModifiedBy>Kästner, Philipp</cp:lastModifiedBy>
  <dcterms:modified xsi:type="dcterms:W3CDTF">2026-10-30T17:44:52Z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0x0101006D8089801B5BEA488DD5AF96E5028C69</vt:lpwstr>
  </property>
  <property fmtid="{D5CDD505-2E9C-101B-9397-08002B2CF9AE}" pid="3" name="MediaServiceImageTags">
    <vt:lpwstr/>
  </property>
  <property fmtid="{D5CDD505-2E9C-101B-9397-08002B2CF9AE}" pid="4" name="_dlc_DocIdItemGuid">
    <vt:lpwstr>65b14d17-e169-485f-97c0-0d2fbcc5482a</vt:lpwstr>
  </property>
</Properties>
</file>